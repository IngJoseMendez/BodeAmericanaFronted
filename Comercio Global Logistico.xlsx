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ACHO(BODEGA)" sheetId="1" r:id="rId5"/>
    <sheet state="visible" name="SEPARADAS(BODEGA)" sheetId="2" r:id="rId6"/>
    <sheet state="visible" name="COTIZACION(CLIENTES)" sheetId="3" r:id="rId7"/>
    <sheet state="visible" name="LISTADEPRECIOS(CLIENTES)" sheetId="4" r:id="rId8"/>
    <sheet state="visible" name="CARTERA(CLIENTES)" sheetId="5" r:id="rId9"/>
    <sheet state="visible" name="CARTERA(INTERNA)" sheetId="6" r:id="rId10"/>
    <sheet state="visible" name="LISTADISPONIBLES(INTERNA)" sheetId="7" r:id="rId11"/>
    <sheet state="visible" name="INVENTARIO(INTERNO)" sheetId="8" r:id="rId12"/>
    <sheet state="visible" name="INVENTARIO(BODEGA)" sheetId="9" r:id="rId13"/>
    <sheet state="visible" name="PRECIOSINTERNOS" sheetId="10" r:id="rId14"/>
    <sheet state="visible" name="COSTOSCONT" sheetId="11" r:id="rId15"/>
    <sheet state="visible" name="UTILIDADCONT" sheetId="12" r:id="rId16"/>
    <sheet state="visible" name="Sheet7" sheetId="13" r:id="rId17"/>
  </sheets>
  <definedNames/>
  <calcPr/>
</workbook>
</file>

<file path=xl/sharedStrings.xml><?xml version="1.0" encoding="utf-8"?>
<sst xmlns="http://schemas.openxmlformats.org/spreadsheetml/2006/main" count="175" uniqueCount="107">
  <si>
    <t>FECHA</t>
  </si>
  <si>
    <t>NOMBRE</t>
  </si>
  <si>
    <t>LISTA DE PRECIOS</t>
  </si>
  <si>
    <t>.</t>
  </si>
  <si>
    <t>REFERENCIA</t>
  </si>
  <si>
    <t>VIENEN</t>
  </si>
  <si>
    <t>TASA</t>
  </si>
  <si>
    <t>CALIDAD</t>
  </si>
  <si>
    <t>PRECIO</t>
  </si>
  <si>
    <t>PROMO</t>
  </si>
  <si>
    <t>SALEN</t>
  </si>
  <si>
    <t>SEPARADAS POR CLIENTE</t>
  </si>
  <si>
    <t xml:space="preserve">TOTAL </t>
  </si>
  <si>
    <t>QUEDAN</t>
  </si>
  <si>
    <t>CANTIDAD</t>
  </si>
  <si>
    <t>TOTAL</t>
  </si>
  <si>
    <t>US$</t>
  </si>
  <si>
    <t>CLASIFICACION</t>
  </si>
  <si>
    <t>CATEGORIA</t>
  </si>
  <si>
    <t>CAN</t>
  </si>
  <si>
    <t>D#</t>
  </si>
  <si>
    <t>SEPARADAS</t>
  </si>
  <si>
    <t>CIUDAD</t>
  </si>
  <si>
    <t>DIRECCION</t>
  </si>
  <si>
    <t>CELULAR</t>
  </si>
  <si>
    <t>TRANSP.</t>
  </si>
  <si>
    <t xml:space="preserve">DESPACHAR </t>
  </si>
  <si>
    <t>NEIVA</t>
  </si>
  <si>
    <t>DISPONIBLES</t>
  </si>
  <si>
    <t>FLETES</t>
  </si>
  <si>
    <t xml:space="preserve">REFERENCIA </t>
  </si>
  <si>
    <t>CANT</t>
  </si>
  <si>
    <t>TIPO DE PAGO</t>
  </si>
  <si>
    <t>BANCO</t>
  </si>
  <si>
    <t>CUENTA</t>
  </si>
  <si>
    <t xml:space="preserve">ABONO </t>
  </si>
  <si>
    <t xml:space="preserve">SALDO </t>
  </si>
  <si>
    <t>ABONOS</t>
  </si>
  <si>
    <t>MEDIO</t>
  </si>
  <si>
    <t>SALDO PENDIENTE</t>
  </si>
  <si>
    <t>Nombre</t>
  </si>
  <si>
    <t>Apellido</t>
  </si>
  <si>
    <t>Cartera</t>
  </si>
  <si>
    <t>TOTAL DISP</t>
  </si>
  <si>
    <t>DISP</t>
  </si>
  <si>
    <t>INVENTARIO TOTAL Y DISPONIBLE</t>
  </si>
  <si>
    <t>COSTO</t>
  </si>
  <si>
    <t>COSTO TOTAL</t>
  </si>
  <si>
    <t>PRECIO TOTAL</t>
  </si>
  <si>
    <t>FISICO</t>
  </si>
  <si>
    <t>Utilidad Unitaria</t>
  </si>
  <si>
    <t>MONTO</t>
  </si>
  <si>
    <t>Gastos Unitarios</t>
  </si>
  <si>
    <t>Valor Dolar</t>
  </si>
  <si>
    <t>CONTENEDOR # 2026</t>
  </si>
  <si>
    <t>JEANS MIX</t>
  </si>
  <si>
    <t>SUPREME</t>
  </si>
  <si>
    <t>ALBA LUCIA LLANO</t>
  </si>
  <si>
    <t>La Ceja</t>
  </si>
  <si>
    <t>Calle 19 #20-47 local 106</t>
  </si>
  <si>
    <t>ENVIA</t>
  </si>
  <si>
    <t>PROVEEDOR</t>
  </si>
  <si>
    <t>CLASE</t>
  </si>
  <si>
    <t>Costo Unitario US$</t>
  </si>
  <si>
    <t>Costo Total US$</t>
  </si>
  <si>
    <t>Costo Unitario CO$</t>
  </si>
  <si>
    <t>Costo Total CO$</t>
  </si>
  <si>
    <t>Total Otros Gastos CO$</t>
  </si>
  <si>
    <t>Utilidad Total CO$</t>
  </si>
  <si>
    <t>Precio de Venta Unitario CO$</t>
  </si>
  <si>
    <t>Precio de Venta Total CO$</t>
  </si>
  <si>
    <t>PRECIO VENTA C Y M</t>
  </si>
  <si>
    <t xml:space="preserve">GANANCIA POR PACA </t>
  </si>
  <si>
    <t>GANANCIA TOTAL</t>
  </si>
  <si>
    <t>CONTENEDOR # Y FECHA 2026</t>
  </si>
  <si>
    <t>MARIO</t>
  </si>
  <si>
    <t xml:space="preserve">CANTIDAD TOTAL </t>
  </si>
  <si>
    <t>UTILIDAD UNITARIA</t>
  </si>
  <si>
    <t xml:space="preserve">GASTOS </t>
  </si>
  <si>
    <t>$ US</t>
  </si>
  <si>
    <t>$CO</t>
  </si>
  <si>
    <t>Promedio por Paca</t>
  </si>
  <si>
    <t>FACTURAS</t>
  </si>
  <si>
    <t>SERVICIO 1</t>
  </si>
  <si>
    <t>SERVICIO 2</t>
  </si>
  <si>
    <t>BALLETAS</t>
  </si>
  <si>
    <t>Total Gastos Fijos</t>
  </si>
  <si>
    <t>Gran Total Gastos</t>
  </si>
  <si>
    <t>Utilidad Total y Unitaria</t>
  </si>
  <si>
    <t>Gran Total Inversion + Utilidad</t>
  </si>
  <si>
    <t>Total Gastos</t>
  </si>
  <si>
    <t>CONTENEDOR # FECHA 2025</t>
  </si>
  <si>
    <t>PACAS</t>
  </si>
  <si>
    <t>UTILIDAD/PACA</t>
  </si>
  <si>
    <t>UTILIDAD/CONTENEDOR</t>
  </si>
  <si>
    <t>TOTAL INVERSION</t>
  </si>
  <si>
    <t>TOTAL APORTE INVERSIONISTAS</t>
  </si>
  <si>
    <t xml:space="preserve">INVERSIONISTA </t>
  </si>
  <si>
    <t>APORTE  CO$</t>
  </si>
  <si>
    <t xml:space="preserve">PORCENTAJE </t>
  </si>
  <si>
    <t>UTLIDAD CO$</t>
  </si>
  <si>
    <t>UTILIDAD  US$</t>
  </si>
  <si>
    <t>Total</t>
  </si>
  <si>
    <t>APORTE EN US$</t>
  </si>
  <si>
    <t>Carolina Morales</t>
  </si>
  <si>
    <t xml:space="preserve">Magaly Zaldua </t>
  </si>
  <si>
    <t xml:space="preserve">Daniela Morales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</si>
</sst>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\ #,##0"/>
    <numFmt numFmtId="165" formatCode="mmm d, yyyy"/>
    <numFmt numFmtId="166" formatCode="&quot;$&quot;#,##0"/>
    <numFmt numFmtId="167" formatCode="[$$-240A]\ #,##0"/>
    <numFmt numFmtId="168" formatCode="[$$-240A]#,##0"/>
    <numFmt numFmtId="169" formatCode="&quot;$&quot;#,##0.00"/>
  </numFmts>
  <fonts count="14">
    <font>
      <sz val="10.0"/>
      <color rgb="FF000000"/>
      <name val="Arial"/>
      <scheme val="minor"/>
    </font>
    <font>
      <b/>
      <color theme="1"/>
      <name val="Arial Narrow"/>
    </font>
    <font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color rgb="FFFFFFFF"/>
      <name val="Arial Narrow"/>
    </font>
    <font>
      <b/>
      <sz val="12.0"/>
      <color rgb="FFFFFFFF"/>
      <name val="Arial Narrow"/>
    </font>
    <font>
      <b/>
      <sz val="12.0"/>
      <color rgb="FFFFFFFF"/>
      <name val="Arial"/>
    </font>
    <font>
      <b/>
      <color theme="1"/>
      <name val="Arial"/>
    </font>
    <font>
      <b/>
      <color rgb="FFFFFFFF"/>
      <name val="Arial"/>
    </font>
    <font>
      <b/>
      <sz val="12.0"/>
      <color theme="1"/>
      <name val="Arial Narrow"/>
    </font>
    <font/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CCECFF"/>
        <bgColor rgb="FFCCECFF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F8CDB"/>
        <bgColor rgb="FFFF8CDB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2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2" fillId="2" fontId="1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4" fontId="5" numFmtId="0" xfId="0" applyAlignment="1" applyBorder="1" applyFill="1" applyFont="1">
      <alignment horizontal="center" vertical="bottom"/>
    </xf>
    <xf borderId="1" fillId="0" fontId="1" numFmtId="3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6" numFmtId="0" xfId="0" applyBorder="1" applyFont="1"/>
    <xf borderId="1" fillId="2" fontId="4" numFmtId="164" xfId="0" applyAlignment="1" applyBorder="1" applyFont="1" applyNumberFormat="1">
      <alignment horizontal="center" readingOrder="0" vertical="bottom"/>
    </xf>
    <xf borderId="1" fillId="0" fontId="2" numFmtId="3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3" fontId="7" numFmtId="0" xfId="0" applyAlignment="1" applyBorder="1" applyFont="1">
      <alignment horizontal="center" readingOrder="0" vertical="bottom"/>
    </xf>
    <xf borderId="1" fillId="5" fontId="4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6" fontId="7" numFmtId="0" xfId="0" applyAlignment="1" applyBorder="1" applyFill="1" applyFont="1">
      <alignment horizontal="center" vertical="bottom"/>
    </xf>
    <xf borderId="1" fillId="6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2" fontId="4" numFmtId="164" xfId="0" applyAlignment="1" applyBorder="1" applyFont="1" applyNumberFormat="1">
      <alignment horizontal="center" vertical="bottom"/>
    </xf>
    <xf borderId="1" fillId="6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2" fontId="2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1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65" xfId="0" applyAlignment="1" applyBorder="1" applyFont="1" applyNumberFormat="1">
      <alignment vertical="bottom"/>
    </xf>
    <xf borderId="0" fillId="3" fontId="9" numFmtId="0" xfId="0" applyAlignment="1" applyFont="1">
      <alignment horizontal="center" readingOrder="0" vertical="bottom"/>
    </xf>
    <xf borderId="0" fillId="3" fontId="9" numFmtId="0" xfId="0" applyAlignment="1" applyFont="1">
      <alignment horizontal="center" vertical="bottom"/>
    </xf>
    <xf borderId="0" fillId="3" fontId="9" numFmtId="166" xfId="0" applyAlignment="1" applyFont="1" applyNumberFormat="1">
      <alignment horizontal="center" vertical="bottom"/>
    </xf>
    <xf borderId="1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3" fontId="9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 vertical="bottom"/>
    </xf>
    <xf borderId="1" fillId="2" fontId="2" numFmtId="167" xfId="0" applyBorder="1" applyFont="1" applyNumberFormat="1"/>
    <xf borderId="1" fillId="2" fontId="10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167" xfId="0" applyAlignment="1" applyBorder="1" applyFont="1" applyNumberFormat="1">
      <alignment horizontal="center" vertical="bottom"/>
    </xf>
    <xf borderId="1" fillId="0" fontId="10" numFmtId="164" xfId="0" applyAlignment="1" applyBorder="1" applyFont="1" applyNumberFormat="1">
      <alignment horizontal="center" vertical="bottom"/>
    </xf>
    <xf borderId="1" fillId="3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readingOrder="0" vertical="bottom"/>
    </xf>
    <xf borderId="0" fillId="2" fontId="12" numFmtId="0" xfId="0" applyAlignment="1" applyFont="1">
      <alignment horizontal="center" readingOrder="0"/>
    </xf>
    <xf borderId="0" fillId="2" fontId="2" numFmtId="0" xfId="0" applyFont="1"/>
    <xf borderId="0" fillId="2" fontId="12" numFmtId="0" xfId="0" applyAlignment="1" applyFont="1">
      <alignment horizontal="center"/>
    </xf>
    <xf borderId="0" fillId="2" fontId="12" numFmtId="166" xfId="0" applyAlignment="1" applyFont="1" applyNumberFormat="1">
      <alignment horizontal="center" readingOrder="0"/>
    </xf>
    <xf borderId="0" fillId="2" fontId="2" numFmtId="0" xfId="0" applyAlignment="1" applyFont="1">
      <alignment vertical="bottom"/>
    </xf>
    <xf borderId="3" fillId="7" fontId="12" numFmtId="168" xfId="0" applyAlignment="1" applyBorder="1" applyFill="1" applyFont="1" applyNumberFormat="1">
      <alignment horizontal="center" readingOrder="0" vertical="bottom"/>
    </xf>
    <xf borderId="4" fillId="8" fontId="12" numFmtId="0" xfId="0" applyAlignment="1" applyBorder="1" applyFill="1" applyFont="1">
      <alignment horizontal="center" readingOrder="0"/>
    </xf>
    <xf borderId="5" fillId="0" fontId="13" numFmtId="0" xfId="0" applyBorder="1" applyFont="1"/>
    <xf borderId="6" fillId="0" fontId="13" numFmtId="0" xfId="0" applyBorder="1" applyFont="1"/>
    <xf borderId="1" fillId="9" fontId="12" numFmtId="0" xfId="0" applyAlignment="1" applyBorder="1" applyFill="1" applyFont="1">
      <alignment horizontal="center"/>
    </xf>
    <xf borderId="1" fillId="9" fontId="2" numFmtId="0" xfId="0" applyBorder="1" applyFont="1"/>
    <xf borderId="1" fillId="9" fontId="12" numFmtId="169" xfId="0" applyAlignment="1" applyBorder="1" applyFont="1" applyNumberFormat="1">
      <alignment horizontal="center"/>
    </xf>
    <xf borderId="1" fillId="9" fontId="12" numFmtId="167" xfId="0" applyAlignment="1" applyBorder="1" applyFont="1" applyNumberFormat="1">
      <alignment horizontal="center"/>
    </xf>
    <xf borderId="1" fillId="9" fontId="12" numFmtId="164" xfId="0" applyAlignment="1" applyBorder="1" applyFont="1" applyNumberFormat="1">
      <alignment horizontal="center"/>
    </xf>
    <xf borderId="1" fillId="10" fontId="12" numFmtId="0" xfId="0" applyAlignment="1" applyBorder="1" applyFill="1" applyFont="1">
      <alignment horizontal="center" shrinkToFit="0" vertical="bottom" wrapText="1"/>
    </xf>
    <xf borderId="1" fillId="11" fontId="12" numFmtId="0" xfId="0" applyAlignment="1" applyBorder="1" applyFill="1" applyFont="1">
      <alignment horizontal="center" shrinkToFit="0" vertical="bottom" wrapText="1"/>
    </xf>
    <xf borderId="1" fillId="12" fontId="12" numFmtId="0" xfId="0" applyAlignment="1" applyBorder="1" applyFill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13" fontId="8" numFmtId="0" xfId="0" applyAlignment="1" applyBorder="1" applyFill="1" applyFont="1">
      <alignment horizontal="center" readingOrder="0" vertical="bottom"/>
    </xf>
    <xf borderId="7" fillId="0" fontId="12" numFmtId="0" xfId="0" applyAlignment="1" applyBorder="1" applyFont="1">
      <alignment readingOrder="0" vertical="bottom"/>
    </xf>
    <xf borderId="3" fillId="0" fontId="12" numFmtId="167" xfId="0" applyAlignment="1" applyBorder="1" applyFont="1" applyNumberFormat="1">
      <alignment horizontal="center" vertical="bottom"/>
    </xf>
    <xf borderId="3" fillId="0" fontId="2" numFmtId="164" xfId="0" applyAlignment="1" applyBorder="1" applyFont="1" applyNumberFormat="1">
      <alignment readingOrder="0" vertical="bottom"/>
    </xf>
    <xf borderId="3" fillId="14" fontId="12" numFmtId="0" xfId="0" applyAlignment="1" applyBorder="1" applyFill="1" applyFont="1">
      <alignment horizontal="center" vertical="bottom"/>
    </xf>
    <xf borderId="3" fillId="0" fontId="12" numFmtId="1" xfId="0" applyAlignment="1" applyBorder="1" applyFont="1" applyNumberFormat="1">
      <alignment horizontal="center" vertical="bottom"/>
    </xf>
    <xf borderId="3" fillId="0" fontId="2" numFmtId="167" xfId="0" applyAlignment="1" applyBorder="1" applyFont="1" applyNumberFormat="1">
      <alignment vertical="bottom"/>
    </xf>
    <xf borderId="3" fillId="14" fontId="2" numFmtId="0" xfId="0" applyAlignment="1" applyBorder="1" applyFont="1">
      <alignment vertical="bottom"/>
    </xf>
    <xf borderId="7" fillId="0" fontId="1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7" fillId="0" fontId="12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center" vertical="bottom"/>
    </xf>
    <xf borderId="3" fillId="0" fontId="12" numFmtId="166" xfId="0" applyAlignment="1" applyBorder="1" applyFont="1" applyNumberFormat="1">
      <alignment horizontal="center" vertical="bottom"/>
    </xf>
    <xf borderId="3" fillId="0" fontId="2" numFmtId="168" xfId="0" applyAlignment="1" applyBorder="1" applyFont="1" applyNumberFormat="1">
      <alignment vertical="bottom"/>
    </xf>
    <xf borderId="3" fillId="0" fontId="12" numFmtId="169" xfId="0" applyAlignment="1" applyBorder="1" applyFont="1" applyNumberFormat="1">
      <alignment horizontal="center" vertical="bottom"/>
    </xf>
    <xf borderId="7" fillId="0" fontId="12" numFmtId="0" xfId="0" applyAlignment="1" applyBorder="1" applyFont="1">
      <alignment horizontal="center" vertical="bottom"/>
    </xf>
    <xf borderId="3" fillId="15" fontId="12" numFmtId="167" xfId="0" applyAlignment="1" applyBorder="1" applyFill="1" applyFont="1" applyNumberFormat="1">
      <alignment horizontal="center" vertical="bottom"/>
    </xf>
    <xf borderId="7" fillId="2" fontId="12" numFmtId="0" xfId="0" applyAlignment="1" applyBorder="1" applyFont="1">
      <alignment vertical="bottom"/>
    </xf>
    <xf borderId="3" fillId="2" fontId="12" numFmtId="169" xfId="0" applyAlignment="1" applyBorder="1" applyFont="1" applyNumberFormat="1">
      <alignment horizontal="center" vertical="bottom"/>
    </xf>
    <xf borderId="3" fillId="2" fontId="12" numFmtId="167" xfId="0" applyAlignment="1" applyBorder="1" applyFont="1" applyNumberFormat="1">
      <alignment horizontal="center" vertical="bottom"/>
    </xf>
    <xf borderId="3" fillId="2" fontId="12" numFmtId="168" xfId="0" applyAlignment="1" applyBorder="1" applyFont="1" applyNumberFormat="1">
      <alignment horizontal="center" vertical="bottom"/>
    </xf>
    <xf borderId="3" fillId="0" fontId="2" numFmtId="166" xfId="0" applyAlignment="1" applyBorder="1" applyFont="1" applyNumberFormat="1">
      <alignment vertical="bottom"/>
    </xf>
    <xf borderId="7" fillId="2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horizontal="center" readingOrder="0" vertical="bottom"/>
    </xf>
    <xf borderId="3" fillId="0" fontId="12" numFmtId="169" xfId="0" applyAlignment="1" applyBorder="1" applyFont="1" applyNumberFormat="1">
      <alignment horizontal="center" vertical="bottom"/>
    </xf>
    <xf borderId="4" fillId="3" fontId="8" numFmtId="0" xfId="0" applyAlignment="1" applyBorder="1" applyFont="1">
      <alignment horizontal="center" readingOrder="0" vertical="bottom"/>
    </xf>
    <xf borderId="3" fillId="0" fontId="12" numFmtId="3" xfId="0" applyAlignment="1" applyBorder="1" applyFont="1" applyNumberFormat="1">
      <alignment horizontal="center" vertical="bottom"/>
    </xf>
    <xf borderId="3" fillId="2" fontId="12" numFmtId="166" xfId="0" applyAlignment="1" applyBorder="1" applyFont="1" applyNumberFormat="1">
      <alignment horizontal="center" vertical="bottom"/>
    </xf>
    <xf borderId="7" fillId="9" fontId="12" numFmtId="0" xfId="0" applyAlignment="1" applyBorder="1" applyFont="1">
      <alignment horizontal="center" vertical="bottom"/>
    </xf>
    <xf borderId="3" fillId="9" fontId="12" numFmtId="166" xfId="0" applyAlignment="1" applyBorder="1" applyFont="1" applyNumberFormat="1">
      <alignment horizontal="center" vertical="bottom"/>
    </xf>
    <xf borderId="3" fillId="0" fontId="12" numFmtId="166" xfId="0" applyAlignment="1" applyBorder="1" applyFont="1" applyNumberFormat="1">
      <alignment horizontal="right" vertical="bottom"/>
    </xf>
    <xf borderId="3" fillId="0" fontId="12" numFmtId="9" xfId="0" applyAlignment="1" applyBorder="1" applyFont="1" applyNumberFormat="1">
      <alignment horizontal="center" vertical="bottom"/>
    </xf>
    <xf borderId="3" fillId="2" fontId="2" numFmtId="166" xfId="0" applyAlignment="1" applyBorder="1" applyFont="1" applyNumberFormat="1">
      <alignment vertical="bottom"/>
    </xf>
    <xf borderId="3" fillId="2" fontId="12" numFmtId="166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8" fillId="0" fontId="2" numFmtId="166" xfId="0" applyAlignment="1" applyBorder="1" applyFont="1" applyNumberFormat="1">
      <alignment vertical="bottom"/>
    </xf>
    <xf borderId="0" fillId="0" fontId="2" numFmtId="166" xfId="0" applyAlignment="1" applyFont="1" applyNumberFormat="1">
      <alignment vertical="bottom"/>
    </xf>
    <xf borderId="9" fillId="0" fontId="12" numFmtId="0" xfId="0" applyAlignment="1" applyBorder="1" applyFont="1">
      <alignment horizontal="center" vertical="bottom"/>
    </xf>
    <xf borderId="3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63"/>
  </cols>
  <sheetData>
    <row r="1">
      <c r="A1" s="3"/>
      <c r="B1" s="3"/>
      <c r="C1" s="3"/>
      <c r="D1" s="3"/>
      <c r="E1" s="6"/>
      <c r="F1" s="6"/>
      <c r="G1" s="6"/>
      <c r="H1" s="9" t="s">
        <v>3</v>
      </c>
      <c r="I1" s="11" t="s">
        <v>5</v>
      </c>
      <c r="J1" s="15">
        <v>10.0</v>
      </c>
      <c r="K1" s="18"/>
      <c r="L1" s="18"/>
      <c r="M1" s="18"/>
      <c r="N1" s="18"/>
      <c r="O1" s="18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19"/>
      <c r="B2" s="19"/>
      <c r="C2" s="19" t="s">
        <v>3</v>
      </c>
      <c r="D2" s="3"/>
      <c r="E2" s="3"/>
      <c r="F2" s="3"/>
      <c r="G2" s="3"/>
      <c r="H2" s="3"/>
      <c r="I2" s="11" t="s">
        <v>10</v>
      </c>
      <c r="J2" s="15">
        <v>2.0</v>
      </c>
      <c r="K2" s="18"/>
      <c r="L2" s="18"/>
      <c r="M2" s="18"/>
      <c r="N2" s="18"/>
      <c r="O2" s="18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3"/>
      <c r="B3" s="3"/>
      <c r="C3" s="3"/>
      <c r="D3" s="3"/>
      <c r="E3" s="3"/>
      <c r="F3" s="3"/>
      <c r="G3" s="3"/>
      <c r="H3" s="3"/>
      <c r="I3" s="11" t="s">
        <v>13</v>
      </c>
      <c r="J3" s="27">
        <f>J1-J2</f>
        <v>8</v>
      </c>
      <c r="K3" s="18"/>
      <c r="L3" s="18"/>
      <c r="M3" s="18"/>
      <c r="N3" s="18"/>
      <c r="O3" s="18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1" t="s">
        <v>0</v>
      </c>
      <c r="B4" s="1" t="s">
        <v>20</v>
      </c>
      <c r="C4" s="7"/>
      <c r="F4" s="3"/>
      <c r="G4" s="3"/>
      <c r="H4" s="3"/>
      <c r="I4" s="11" t="s">
        <v>21</v>
      </c>
      <c r="J4" s="14">
        <v>3.0</v>
      </c>
      <c r="K4" s="18"/>
      <c r="L4" s="18"/>
      <c r="M4" s="18"/>
      <c r="N4" s="18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27" t="s">
        <v>26</v>
      </c>
      <c r="B5" s="7"/>
      <c r="C5" s="11"/>
      <c r="F5" s="3"/>
      <c r="G5" s="3"/>
      <c r="H5" s="31" t="s">
        <v>27</v>
      </c>
      <c r="I5" s="11" t="s">
        <v>28</v>
      </c>
      <c r="J5" s="14">
        <f>J3-J4</f>
        <v>5</v>
      </c>
      <c r="K5" s="18"/>
      <c r="L5" s="18"/>
      <c r="M5" s="18"/>
      <c r="N5" s="18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20" t="s">
        <v>17</v>
      </c>
      <c r="B6" s="20" t="s">
        <v>18</v>
      </c>
      <c r="C6" s="22" t="s">
        <v>4</v>
      </c>
      <c r="D6" s="22" t="s">
        <v>7</v>
      </c>
      <c r="E6" s="24" t="s">
        <v>19</v>
      </c>
      <c r="F6" s="24" t="s">
        <v>1</v>
      </c>
      <c r="G6" s="24" t="s">
        <v>22</v>
      </c>
      <c r="H6" s="24" t="s">
        <v>23</v>
      </c>
      <c r="I6" s="24" t="s">
        <v>24</v>
      </c>
      <c r="J6" s="24" t="s">
        <v>25</v>
      </c>
      <c r="K6" s="18"/>
      <c r="L6" s="18"/>
      <c r="M6" s="18"/>
      <c r="N6" s="18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>
      <c r="A7" s="27"/>
      <c r="B7" s="27"/>
      <c r="C7" s="27"/>
      <c r="D7" s="11"/>
      <c r="E7" s="11"/>
      <c r="F7" s="27"/>
      <c r="G7" s="27"/>
      <c r="H7" s="27"/>
      <c r="I7" s="11"/>
      <c r="J7" s="27"/>
      <c r="K7" s="34"/>
      <c r="L7" s="34"/>
      <c r="M7" s="34"/>
      <c r="N7" s="34"/>
      <c r="O7" s="3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>
      <c r="A8" s="27"/>
      <c r="B8" s="27"/>
      <c r="C8" s="27"/>
      <c r="D8" s="11"/>
      <c r="E8" s="11"/>
      <c r="F8" s="27"/>
      <c r="G8" s="27"/>
      <c r="H8" s="27"/>
      <c r="I8" s="11"/>
      <c r="J8" s="27"/>
      <c r="K8" s="34"/>
      <c r="L8" s="34"/>
      <c r="M8" s="34"/>
      <c r="N8" s="34"/>
      <c r="O8" s="3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>
      <c r="A9" s="27"/>
      <c r="B9" s="27"/>
      <c r="C9" s="27"/>
      <c r="D9" s="11"/>
      <c r="E9" s="11"/>
      <c r="F9" s="27"/>
      <c r="G9" s="27"/>
      <c r="H9" s="27"/>
      <c r="I9" s="11"/>
      <c r="J9" s="27"/>
      <c r="K9" s="34"/>
      <c r="L9" s="34"/>
      <c r="M9" s="34"/>
      <c r="N9" s="34"/>
      <c r="O9" s="3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>
      <c r="A10" s="27"/>
      <c r="B10" s="27"/>
      <c r="C10" s="27"/>
      <c r="D10" s="11"/>
      <c r="E10" s="11"/>
      <c r="F10" s="27"/>
      <c r="G10" s="27"/>
      <c r="H10" s="27"/>
      <c r="I10" s="11"/>
      <c r="J10" s="27"/>
      <c r="K10" s="34"/>
      <c r="L10" s="34"/>
      <c r="M10" s="34"/>
      <c r="N10" s="34"/>
      <c r="O10" s="3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>
      <c r="A11" s="27"/>
      <c r="B11" s="27"/>
      <c r="C11" s="27"/>
      <c r="D11" s="11"/>
      <c r="E11" s="11"/>
      <c r="F11" s="27"/>
      <c r="G11" s="27"/>
      <c r="H11" s="27"/>
      <c r="I11" s="11"/>
      <c r="J11" s="27"/>
      <c r="K11" s="34"/>
      <c r="L11" s="34"/>
      <c r="M11" s="34"/>
      <c r="N11" s="34"/>
      <c r="O11" s="3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>
      <c r="A12" s="27"/>
      <c r="B12" s="27"/>
      <c r="C12" s="27"/>
      <c r="D12" s="11"/>
      <c r="E12" s="11"/>
      <c r="F12" s="27"/>
      <c r="G12" s="27"/>
      <c r="H12" s="27"/>
      <c r="I12" s="11"/>
      <c r="J12" s="27"/>
      <c r="K12" s="34"/>
      <c r="L12" s="34"/>
      <c r="M12" s="34"/>
      <c r="N12" s="34"/>
      <c r="O12" s="3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>
      <c r="A13" s="27"/>
      <c r="B13" s="27"/>
      <c r="C13" s="27"/>
      <c r="D13" s="11"/>
      <c r="E13" s="11"/>
      <c r="F13" s="27"/>
      <c r="G13" s="11"/>
      <c r="H13" s="27"/>
      <c r="I13" s="11"/>
      <c r="J13" s="27"/>
      <c r="K13" s="34"/>
      <c r="L13" s="34"/>
      <c r="M13" s="34"/>
      <c r="N13" s="34"/>
      <c r="O13" s="3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4"/>
      <c r="L18" s="34"/>
      <c r="M18" s="34"/>
      <c r="N18" s="34"/>
      <c r="O18" s="3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4"/>
      <c r="L19" s="34"/>
      <c r="M19" s="34"/>
      <c r="N19" s="34"/>
      <c r="O19" s="3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4"/>
      <c r="L20" s="34"/>
      <c r="M20" s="34"/>
      <c r="N20" s="34"/>
      <c r="O20" s="3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4"/>
      <c r="L21" s="34"/>
      <c r="M21" s="34"/>
      <c r="N21" s="34"/>
      <c r="O21" s="3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4"/>
      <c r="L22" s="34"/>
      <c r="M22" s="34"/>
      <c r="N22" s="34"/>
      <c r="O22" s="3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4"/>
      <c r="L23" s="34"/>
      <c r="M23" s="34"/>
      <c r="N23" s="34"/>
      <c r="O23" s="3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4"/>
      <c r="L24" s="34"/>
      <c r="M24" s="34"/>
      <c r="N24" s="34"/>
      <c r="O24" s="3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4"/>
      <c r="L25" s="34"/>
      <c r="M25" s="34"/>
      <c r="N25" s="34"/>
      <c r="O25" s="3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4"/>
      <c r="L26" s="34"/>
      <c r="M26" s="34"/>
      <c r="N26" s="34"/>
      <c r="O26" s="3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4"/>
      <c r="L27" s="34"/>
      <c r="M27" s="34"/>
      <c r="N27" s="34"/>
      <c r="O27" s="3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4"/>
      <c r="L28" s="34"/>
      <c r="M28" s="34"/>
      <c r="N28" s="34"/>
      <c r="O28" s="3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4"/>
      <c r="L29" s="34"/>
      <c r="M29" s="34"/>
      <c r="N29" s="34"/>
      <c r="O29" s="3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4"/>
      <c r="L30" s="34"/>
      <c r="M30" s="34"/>
      <c r="N30" s="34"/>
      <c r="O30" s="3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4"/>
      <c r="L31" s="34"/>
      <c r="M31" s="34"/>
      <c r="N31" s="34"/>
      <c r="O31" s="3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4"/>
      <c r="L32" s="34"/>
      <c r="M32" s="34"/>
      <c r="N32" s="34"/>
      <c r="O32" s="3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4"/>
      <c r="L33" s="34"/>
      <c r="M33" s="34"/>
      <c r="N33" s="34"/>
      <c r="O33" s="3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4"/>
      <c r="L34" s="34"/>
      <c r="M34" s="34"/>
      <c r="N34" s="34"/>
      <c r="O34" s="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4"/>
      <c r="L35" s="34"/>
      <c r="M35" s="34"/>
      <c r="N35" s="34"/>
      <c r="O35" s="3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4"/>
      <c r="L36" s="34"/>
      <c r="M36" s="34"/>
      <c r="N36" s="34"/>
      <c r="O36" s="3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4"/>
      <c r="L37" s="34"/>
      <c r="M37" s="34"/>
      <c r="N37" s="34"/>
      <c r="O37" s="3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4"/>
      <c r="L38" s="34"/>
      <c r="M38" s="34"/>
      <c r="N38" s="34"/>
      <c r="O38" s="3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4"/>
      <c r="L39" s="34"/>
      <c r="M39" s="34"/>
      <c r="N39" s="34"/>
      <c r="O39" s="3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4"/>
      <c r="L40" s="34"/>
      <c r="M40" s="34"/>
      <c r="N40" s="34"/>
      <c r="O40" s="3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4"/>
      <c r="L41" s="34"/>
      <c r="M41" s="34"/>
      <c r="N41" s="34"/>
      <c r="O41" s="3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4"/>
      <c r="L42" s="34"/>
      <c r="M42" s="34"/>
      <c r="N42" s="34"/>
      <c r="O42" s="3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4"/>
      <c r="L43" s="34"/>
      <c r="M43" s="34"/>
      <c r="N43" s="34"/>
      <c r="O43" s="3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4"/>
      <c r="L44" s="34"/>
      <c r="M44" s="34"/>
      <c r="N44" s="34"/>
      <c r="O44" s="3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4"/>
      <c r="L45" s="34"/>
      <c r="M45" s="34"/>
      <c r="N45" s="34"/>
      <c r="O45" s="3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4"/>
      <c r="L46" s="34"/>
      <c r="M46" s="34"/>
      <c r="N46" s="34"/>
      <c r="O46" s="3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4"/>
      <c r="L47" s="34"/>
      <c r="M47" s="34"/>
      <c r="N47" s="34"/>
      <c r="O47" s="3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4"/>
      <c r="L48" s="34"/>
      <c r="M48" s="34"/>
      <c r="N48" s="34"/>
      <c r="O48" s="3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4"/>
      <c r="L49" s="34"/>
      <c r="M49" s="34"/>
      <c r="N49" s="34"/>
      <c r="O49" s="3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4"/>
      <c r="L50" s="34"/>
      <c r="M50" s="34"/>
      <c r="N50" s="34"/>
      <c r="O50" s="3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4"/>
      <c r="L51" s="34"/>
      <c r="M51" s="34"/>
      <c r="N51" s="34"/>
      <c r="O51" s="3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4"/>
      <c r="L52" s="34"/>
      <c r="M52" s="34"/>
      <c r="N52" s="34"/>
      <c r="O52" s="3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4"/>
      <c r="L53" s="34"/>
      <c r="M53" s="34"/>
      <c r="N53" s="34"/>
      <c r="O53" s="3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4"/>
      <c r="L54" s="34"/>
      <c r="M54" s="34"/>
      <c r="N54" s="34"/>
      <c r="O54" s="3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4"/>
      <c r="L55" s="34"/>
      <c r="M55" s="34"/>
      <c r="N55" s="34"/>
      <c r="O55" s="3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4"/>
      <c r="L56" s="34"/>
      <c r="M56" s="34"/>
      <c r="N56" s="34"/>
      <c r="O56" s="3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4"/>
      <c r="L57" s="34"/>
      <c r="M57" s="34"/>
      <c r="N57" s="34"/>
      <c r="O57" s="3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4"/>
      <c r="L58" s="34"/>
      <c r="M58" s="34"/>
      <c r="N58" s="34"/>
      <c r="O58" s="3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4"/>
      <c r="L59" s="34"/>
      <c r="M59" s="34"/>
      <c r="N59" s="34"/>
      <c r="O59" s="3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4"/>
      <c r="L60" s="34"/>
      <c r="M60" s="34"/>
      <c r="N60" s="34"/>
      <c r="O60" s="3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4"/>
      <c r="L61" s="34"/>
      <c r="M61" s="34"/>
      <c r="N61" s="34"/>
      <c r="O61" s="3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4"/>
      <c r="L62" s="34"/>
      <c r="M62" s="34"/>
      <c r="N62" s="34"/>
      <c r="O62" s="3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4"/>
      <c r="L63" s="34"/>
      <c r="M63" s="34"/>
      <c r="N63" s="34"/>
      <c r="O63" s="3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4"/>
      <c r="L64" s="34"/>
      <c r="M64" s="34"/>
      <c r="N64" s="34"/>
      <c r="O64" s="3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4"/>
      <c r="L65" s="34"/>
      <c r="M65" s="34"/>
      <c r="N65" s="34"/>
      <c r="O65" s="3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4"/>
      <c r="L66" s="34"/>
      <c r="M66" s="34"/>
      <c r="N66" s="34"/>
      <c r="O66" s="3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4"/>
      <c r="L67" s="34"/>
      <c r="M67" s="34"/>
      <c r="N67" s="34"/>
      <c r="O67" s="3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4"/>
      <c r="L68" s="34"/>
      <c r="M68" s="34"/>
      <c r="N68" s="34"/>
      <c r="O68" s="3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4"/>
      <c r="L69" s="34"/>
      <c r="M69" s="34"/>
      <c r="N69" s="34"/>
      <c r="O69" s="3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4"/>
      <c r="L70" s="34"/>
      <c r="M70" s="34"/>
      <c r="N70" s="34"/>
      <c r="O70" s="3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4"/>
      <c r="L71" s="34"/>
      <c r="M71" s="34"/>
      <c r="N71" s="34"/>
      <c r="O71" s="3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4"/>
      <c r="L72" s="34"/>
      <c r="M72" s="34"/>
      <c r="N72" s="34"/>
      <c r="O72" s="3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4"/>
      <c r="L73" s="34"/>
      <c r="M73" s="34"/>
      <c r="N73" s="34"/>
      <c r="O73" s="3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4"/>
      <c r="L74" s="34"/>
      <c r="M74" s="34"/>
      <c r="N74" s="34"/>
      <c r="O74" s="3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4"/>
      <c r="L75" s="34"/>
      <c r="M75" s="34"/>
      <c r="N75" s="34"/>
      <c r="O75" s="3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4"/>
      <c r="L76" s="34"/>
      <c r="M76" s="34"/>
      <c r="N76" s="34"/>
      <c r="O76" s="3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4"/>
      <c r="L77" s="34"/>
      <c r="M77" s="34"/>
      <c r="N77" s="34"/>
      <c r="O77" s="3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4"/>
      <c r="L78" s="34"/>
      <c r="M78" s="34"/>
      <c r="N78" s="34"/>
      <c r="O78" s="3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4"/>
      <c r="L79" s="34"/>
      <c r="M79" s="34"/>
      <c r="N79" s="34"/>
      <c r="O79" s="3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4"/>
      <c r="L80" s="34"/>
      <c r="M80" s="34"/>
      <c r="N80" s="34"/>
      <c r="O80" s="3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4"/>
      <c r="L81" s="34"/>
      <c r="M81" s="34"/>
      <c r="N81" s="34"/>
      <c r="O81" s="3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4"/>
      <c r="L82" s="34"/>
      <c r="M82" s="34"/>
      <c r="N82" s="34"/>
      <c r="O82" s="3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4"/>
      <c r="L83" s="34"/>
      <c r="M83" s="34"/>
      <c r="N83" s="34"/>
      <c r="O83" s="3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4"/>
      <c r="L84" s="34"/>
      <c r="M84" s="34"/>
      <c r="N84" s="34"/>
      <c r="O84" s="3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4"/>
      <c r="L85" s="34"/>
      <c r="M85" s="34"/>
      <c r="N85" s="34"/>
      <c r="O85" s="3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4"/>
      <c r="L86" s="34"/>
      <c r="M86" s="34"/>
      <c r="N86" s="34"/>
      <c r="O86" s="3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4"/>
      <c r="L87" s="34"/>
      <c r="M87" s="34"/>
      <c r="N87" s="34"/>
      <c r="O87" s="3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4"/>
      <c r="L88" s="34"/>
      <c r="M88" s="34"/>
      <c r="N88" s="34"/>
      <c r="O88" s="3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4"/>
      <c r="L89" s="34"/>
      <c r="M89" s="34"/>
      <c r="N89" s="34"/>
      <c r="O89" s="3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4"/>
      <c r="L90" s="34"/>
      <c r="M90" s="34"/>
      <c r="N90" s="34"/>
      <c r="O90" s="3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4"/>
      <c r="L91" s="34"/>
      <c r="M91" s="34"/>
      <c r="N91" s="34"/>
      <c r="O91" s="3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4"/>
      <c r="L92" s="34"/>
      <c r="M92" s="34"/>
      <c r="N92" s="34"/>
      <c r="O92" s="3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4"/>
      <c r="L93" s="34"/>
      <c r="M93" s="34"/>
      <c r="N93" s="34"/>
      <c r="O93" s="3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4"/>
      <c r="L94" s="34"/>
      <c r="M94" s="34"/>
      <c r="N94" s="34"/>
      <c r="O94" s="3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4"/>
      <c r="L95" s="34"/>
      <c r="M95" s="34"/>
      <c r="N95" s="34"/>
      <c r="O95" s="3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4"/>
      <c r="L96" s="34"/>
      <c r="M96" s="34"/>
      <c r="N96" s="34"/>
      <c r="O96" s="3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4"/>
      <c r="L97" s="34"/>
      <c r="M97" s="34"/>
      <c r="N97" s="34"/>
      <c r="O97" s="3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4"/>
      <c r="L98" s="34"/>
      <c r="M98" s="34"/>
      <c r="N98" s="34"/>
      <c r="O98" s="3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4"/>
      <c r="L99" s="34"/>
      <c r="M99" s="34"/>
      <c r="N99" s="34"/>
      <c r="O99" s="3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4"/>
      <c r="L100" s="34"/>
      <c r="M100" s="34"/>
      <c r="N100" s="34"/>
      <c r="O100" s="3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>
      <c r="A101" s="19"/>
      <c r="B101" s="19"/>
      <c r="C101" s="27" t="s">
        <v>55</v>
      </c>
      <c r="D101" s="11" t="s">
        <v>56</v>
      </c>
      <c r="E101" s="11">
        <v>1.0</v>
      </c>
      <c r="F101" s="27" t="s">
        <v>57</v>
      </c>
      <c r="G101" s="11" t="s">
        <v>58</v>
      </c>
      <c r="H101" s="27" t="s">
        <v>59</v>
      </c>
      <c r="I101" s="11">
        <v>3.137632122E9</v>
      </c>
      <c r="J101" s="27" t="s">
        <v>60</v>
      </c>
      <c r="K101" s="34"/>
      <c r="L101" s="34"/>
      <c r="M101" s="34"/>
      <c r="N101" s="34"/>
      <c r="O101" s="3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4"/>
      <c r="L102" s="34"/>
      <c r="M102" s="34"/>
      <c r="N102" s="34"/>
      <c r="O102" s="3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4"/>
      <c r="L103" s="34"/>
      <c r="M103" s="34"/>
      <c r="N103" s="34"/>
      <c r="O103" s="3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4"/>
      <c r="L104" s="34"/>
      <c r="M104" s="34"/>
      <c r="N104" s="34"/>
      <c r="O104" s="3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4"/>
      <c r="L105" s="34"/>
      <c r="M105" s="34"/>
      <c r="N105" s="34"/>
      <c r="O105" s="3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4"/>
      <c r="L106" s="34"/>
      <c r="M106" s="34"/>
      <c r="N106" s="34"/>
      <c r="O106" s="3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4"/>
      <c r="L107" s="34"/>
      <c r="M107" s="34"/>
      <c r="N107" s="34"/>
      <c r="O107" s="3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4"/>
      <c r="L108" s="34"/>
      <c r="M108" s="34"/>
      <c r="N108" s="34"/>
      <c r="O108" s="3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4"/>
      <c r="L109" s="34"/>
      <c r="M109" s="34"/>
      <c r="N109" s="34"/>
      <c r="O109" s="3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4"/>
      <c r="L110" s="34"/>
      <c r="M110" s="34"/>
      <c r="N110" s="34"/>
      <c r="O110" s="3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4"/>
      <c r="L111" s="34"/>
      <c r="M111" s="34"/>
      <c r="N111" s="34"/>
      <c r="O111" s="3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4"/>
      <c r="L112" s="34"/>
      <c r="M112" s="34"/>
      <c r="N112" s="34"/>
      <c r="O112" s="3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4"/>
      <c r="L113" s="34"/>
      <c r="M113" s="34"/>
      <c r="N113" s="34"/>
      <c r="O113" s="3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4"/>
      <c r="L114" s="34"/>
      <c r="M114" s="34"/>
      <c r="N114" s="34"/>
      <c r="O114" s="3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4"/>
      <c r="L115" s="34"/>
      <c r="M115" s="34"/>
      <c r="N115" s="34"/>
      <c r="O115" s="3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4"/>
      <c r="L116" s="34"/>
      <c r="M116" s="34"/>
      <c r="N116" s="34"/>
      <c r="O116" s="3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4"/>
      <c r="L117" s="34"/>
      <c r="M117" s="34"/>
      <c r="N117" s="34"/>
      <c r="O117" s="3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4"/>
      <c r="L118" s="34"/>
      <c r="M118" s="34"/>
      <c r="N118" s="34"/>
      <c r="O118" s="3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4"/>
      <c r="L119" s="34"/>
      <c r="M119" s="34"/>
      <c r="N119" s="34"/>
      <c r="O119" s="3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4"/>
      <c r="L120" s="34"/>
      <c r="M120" s="34"/>
      <c r="N120" s="34"/>
      <c r="O120" s="3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4"/>
      <c r="L121" s="34"/>
      <c r="M121" s="34"/>
      <c r="N121" s="34"/>
      <c r="O121" s="3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4"/>
      <c r="L122" s="34"/>
      <c r="M122" s="34"/>
      <c r="N122" s="34"/>
      <c r="O122" s="3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4"/>
      <c r="L123" s="34"/>
      <c r="M123" s="34"/>
      <c r="N123" s="34"/>
      <c r="O123" s="3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4"/>
      <c r="L124" s="34"/>
      <c r="M124" s="34"/>
      <c r="N124" s="34"/>
      <c r="O124" s="3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4"/>
      <c r="L125" s="34"/>
      <c r="M125" s="34"/>
      <c r="N125" s="34"/>
      <c r="O125" s="3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4"/>
      <c r="L126" s="34"/>
      <c r="M126" s="34"/>
      <c r="N126" s="34"/>
      <c r="O126" s="3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4"/>
      <c r="L127" s="34"/>
      <c r="M127" s="34"/>
      <c r="N127" s="34"/>
      <c r="O127" s="3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4"/>
      <c r="L128" s="34"/>
      <c r="M128" s="34"/>
      <c r="N128" s="34"/>
      <c r="O128" s="3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4"/>
      <c r="L129" s="34"/>
      <c r="M129" s="34"/>
      <c r="N129" s="34"/>
      <c r="O129" s="3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4"/>
      <c r="L130" s="34"/>
      <c r="M130" s="34"/>
      <c r="N130" s="34"/>
      <c r="O130" s="3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4"/>
      <c r="L131" s="34"/>
      <c r="M131" s="34"/>
      <c r="N131" s="34"/>
      <c r="O131" s="3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4"/>
      <c r="L132" s="34"/>
      <c r="M132" s="34"/>
      <c r="N132" s="34"/>
      <c r="O132" s="3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4"/>
      <c r="L133" s="34"/>
      <c r="M133" s="34"/>
      <c r="N133" s="34"/>
      <c r="O133" s="3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4"/>
      <c r="L134" s="34"/>
      <c r="M134" s="34"/>
      <c r="N134" s="34"/>
      <c r="O134" s="3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4"/>
      <c r="L135" s="34"/>
      <c r="M135" s="34"/>
      <c r="N135" s="34"/>
      <c r="O135" s="3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4"/>
      <c r="L136" s="34"/>
      <c r="M136" s="34"/>
      <c r="N136" s="34"/>
      <c r="O136" s="3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4"/>
      <c r="L137" s="34"/>
      <c r="M137" s="34"/>
      <c r="N137" s="34"/>
      <c r="O137" s="3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4"/>
      <c r="L138" s="34"/>
      <c r="M138" s="34"/>
      <c r="N138" s="34"/>
      <c r="O138" s="3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4"/>
      <c r="L139" s="34"/>
      <c r="M139" s="34"/>
      <c r="N139" s="34"/>
      <c r="O139" s="3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4"/>
      <c r="L140" s="34"/>
      <c r="M140" s="34"/>
      <c r="N140" s="34"/>
      <c r="O140" s="3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4"/>
      <c r="L141" s="34"/>
      <c r="M141" s="34"/>
      <c r="N141" s="34"/>
      <c r="O141" s="3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4"/>
      <c r="L142" s="34"/>
      <c r="M142" s="34"/>
      <c r="N142" s="34"/>
      <c r="O142" s="3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4"/>
      <c r="L143" s="34"/>
      <c r="M143" s="34"/>
      <c r="N143" s="34"/>
      <c r="O143" s="3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4"/>
      <c r="L144" s="34"/>
      <c r="M144" s="34"/>
      <c r="N144" s="34"/>
      <c r="O144" s="3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4"/>
      <c r="L145" s="34"/>
      <c r="M145" s="34"/>
      <c r="N145" s="34"/>
      <c r="O145" s="3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4"/>
      <c r="L146" s="34"/>
      <c r="M146" s="34"/>
      <c r="N146" s="34"/>
      <c r="O146" s="3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4"/>
      <c r="L147" s="34"/>
      <c r="M147" s="34"/>
      <c r="N147" s="34"/>
      <c r="O147" s="3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4"/>
      <c r="L148" s="34"/>
      <c r="M148" s="34"/>
      <c r="N148" s="34"/>
      <c r="O148" s="3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4"/>
      <c r="L149" s="34"/>
      <c r="M149" s="34"/>
      <c r="N149" s="34"/>
      <c r="O149" s="3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4"/>
      <c r="L150" s="34"/>
      <c r="M150" s="34"/>
      <c r="N150" s="34"/>
      <c r="O150" s="3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4"/>
      <c r="L151" s="34"/>
      <c r="M151" s="34"/>
      <c r="N151" s="34"/>
      <c r="O151" s="3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4"/>
      <c r="L152" s="34"/>
      <c r="M152" s="34"/>
      <c r="N152" s="34"/>
      <c r="O152" s="3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4"/>
      <c r="L153" s="34"/>
      <c r="M153" s="34"/>
      <c r="N153" s="34"/>
      <c r="O153" s="3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4"/>
      <c r="L154" s="34"/>
      <c r="M154" s="34"/>
      <c r="N154" s="34"/>
      <c r="O154" s="3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4"/>
      <c r="L155" s="34"/>
      <c r="M155" s="34"/>
      <c r="N155" s="34"/>
      <c r="O155" s="3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4"/>
      <c r="L156" s="34"/>
      <c r="M156" s="34"/>
      <c r="N156" s="34"/>
      <c r="O156" s="3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4"/>
      <c r="L157" s="34"/>
      <c r="M157" s="34"/>
      <c r="N157" s="34"/>
      <c r="O157" s="3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4"/>
      <c r="L158" s="34"/>
      <c r="M158" s="34"/>
      <c r="N158" s="34"/>
      <c r="O158" s="3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4"/>
      <c r="L159" s="34"/>
      <c r="M159" s="34"/>
      <c r="N159" s="34"/>
      <c r="O159" s="3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4"/>
      <c r="L160" s="34"/>
      <c r="M160" s="34"/>
      <c r="N160" s="34"/>
      <c r="O160" s="3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4"/>
      <c r="L161" s="34"/>
      <c r="M161" s="34"/>
      <c r="N161" s="34"/>
      <c r="O161" s="3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4"/>
      <c r="L162" s="34"/>
      <c r="M162" s="34"/>
      <c r="N162" s="34"/>
      <c r="O162" s="3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4"/>
      <c r="L163" s="34"/>
      <c r="M163" s="34"/>
      <c r="N163" s="34"/>
      <c r="O163" s="3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4"/>
      <c r="L164" s="34"/>
      <c r="M164" s="34"/>
      <c r="N164" s="34"/>
      <c r="O164" s="3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4"/>
      <c r="L165" s="34"/>
      <c r="M165" s="34"/>
      <c r="N165" s="34"/>
      <c r="O165" s="3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4"/>
      <c r="L166" s="34"/>
      <c r="M166" s="34"/>
      <c r="N166" s="34"/>
      <c r="O166" s="3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4"/>
      <c r="L167" s="34"/>
      <c r="M167" s="34"/>
      <c r="N167" s="34"/>
      <c r="O167" s="3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4"/>
      <c r="L168" s="34"/>
      <c r="M168" s="34"/>
      <c r="N168" s="34"/>
      <c r="O168" s="3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4"/>
      <c r="L169" s="34"/>
      <c r="M169" s="34"/>
      <c r="N169" s="34"/>
      <c r="O169" s="3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4"/>
      <c r="L170" s="34"/>
      <c r="M170" s="34"/>
      <c r="N170" s="34"/>
      <c r="O170" s="3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4"/>
      <c r="L171" s="34"/>
      <c r="M171" s="34"/>
      <c r="N171" s="34"/>
      <c r="O171" s="3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4"/>
      <c r="L172" s="34"/>
      <c r="M172" s="34"/>
      <c r="N172" s="34"/>
      <c r="O172" s="3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4"/>
      <c r="L173" s="34"/>
      <c r="M173" s="34"/>
      <c r="N173" s="34"/>
      <c r="O173" s="3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4"/>
      <c r="L174" s="34"/>
      <c r="M174" s="34"/>
      <c r="N174" s="34"/>
      <c r="O174" s="3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4"/>
      <c r="L175" s="34"/>
      <c r="M175" s="34"/>
      <c r="N175" s="34"/>
      <c r="O175" s="3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4"/>
      <c r="L176" s="34"/>
      <c r="M176" s="34"/>
      <c r="N176" s="34"/>
      <c r="O176" s="3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4"/>
      <c r="L177" s="34"/>
      <c r="M177" s="34"/>
      <c r="N177" s="34"/>
      <c r="O177" s="3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4"/>
      <c r="L178" s="34"/>
      <c r="M178" s="34"/>
      <c r="N178" s="34"/>
      <c r="O178" s="3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4"/>
      <c r="L179" s="34"/>
      <c r="M179" s="34"/>
      <c r="N179" s="34"/>
      <c r="O179" s="3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4"/>
      <c r="L180" s="34"/>
      <c r="M180" s="34"/>
      <c r="N180" s="34"/>
      <c r="O180" s="3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4"/>
      <c r="L181" s="34"/>
      <c r="M181" s="34"/>
      <c r="N181" s="34"/>
      <c r="O181" s="3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4"/>
      <c r="L182" s="34"/>
      <c r="M182" s="34"/>
      <c r="N182" s="34"/>
      <c r="O182" s="3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4"/>
      <c r="L183" s="34"/>
      <c r="M183" s="34"/>
      <c r="N183" s="34"/>
      <c r="O183" s="3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4"/>
      <c r="L184" s="34"/>
      <c r="M184" s="34"/>
      <c r="N184" s="34"/>
      <c r="O184" s="3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4"/>
      <c r="L185" s="34"/>
      <c r="M185" s="34"/>
      <c r="N185" s="34"/>
      <c r="O185" s="3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4"/>
      <c r="L186" s="34"/>
      <c r="M186" s="34"/>
      <c r="N186" s="34"/>
      <c r="O186" s="3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4"/>
      <c r="L187" s="34"/>
      <c r="M187" s="34"/>
      <c r="N187" s="34"/>
      <c r="O187" s="3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4"/>
      <c r="L188" s="34"/>
      <c r="M188" s="34"/>
      <c r="N188" s="34"/>
      <c r="O188" s="3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4"/>
      <c r="L189" s="34"/>
      <c r="M189" s="34"/>
      <c r="N189" s="34"/>
      <c r="O189" s="3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4"/>
      <c r="L190" s="34"/>
      <c r="M190" s="34"/>
      <c r="N190" s="34"/>
      <c r="O190" s="3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4"/>
      <c r="L191" s="34"/>
      <c r="M191" s="34"/>
      <c r="N191" s="34"/>
      <c r="O191" s="3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4"/>
      <c r="L192" s="34"/>
      <c r="M192" s="34"/>
      <c r="N192" s="34"/>
      <c r="O192" s="3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4"/>
      <c r="L193" s="34"/>
      <c r="M193" s="34"/>
      <c r="N193" s="34"/>
      <c r="O193" s="3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4"/>
      <c r="L194" s="34"/>
      <c r="M194" s="34"/>
      <c r="N194" s="34"/>
      <c r="O194" s="3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4"/>
      <c r="L195" s="34"/>
      <c r="M195" s="34"/>
      <c r="N195" s="34"/>
      <c r="O195" s="3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4"/>
      <c r="L196" s="34"/>
      <c r="M196" s="34"/>
      <c r="N196" s="34"/>
      <c r="O196" s="3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4"/>
      <c r="L197" s="34"/>
      <c r="M197" s="34"/>
      <c r="N197" s="34"/>
      <c r="O197" s="3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4"/>
      <c r="L198" s="34"/>
      <c r="M198" s="34"/>
      <c r="N198" s="34"/>
      <c r="O198" s="3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4"/>
      <c r="L199" s="34"/>
      <c r="M199" s="34"/>
      <c r="N199" s="34"/>
      <c r="O199" s="3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4"/>
      <c r="L200" s="34"/>
      <c r="M200" s="34"/>
      <c r="N200" s="34"/>
      <c r="O200" s="3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4"/>
      <c r="L201" s="34"/>
      <c r="M201" s="34"/>
      <c r="N201" s="34"/>
      <c r="O201" s="3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4"/>
      <c r="L202" s="34"/>
      <c r="M202" s="34"/>
      <c r="N202" s="34"/>
      <c r="O202" s="3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4"/>
      <c r="L203" s="34"/>
      <c r="M203" s="34"/>
      <c r="N203" s="34"/>
      <c r="O203" s="3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4"/>
      <c r="L204" s="34"/>
      <c r="M204" s="34"/>
      <c r="N204" s="34"/>
      <c r="O204" s="3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4"/>
      <c r="L205" s="34"/>
      <c r="M205" s="34"/>
      <c r="N205" s="34"/>
      <c r="O205" s="3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4"/>
      <c r="L206" s="34"/>
      <c r="M206" s="34"/>
      <c r="N206" s="34"/>
      <c r="O206" s="3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4"/>
      <c r="L207" s="34"/>
      <c r="M207" s="34"/>
      <c r="N207" s="34"/>
      <c r="O207" s="3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4"/>
      <c r="L208" s="34"/>
      <c r="M208" s="34"/>
      <c r="N208" s="34"/>
      <c r="O208" s="3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4"/>
      <c r="L209" s="34"/>
      <c r="M209" s="34"/>
      <c r="N209" s="34"/>
      <c r="O209" s="3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4"/>
      <c r="L210" s="34"/>
      <c r="M210" s="34"/>
      <c r="N210" s="34"/>
      <c r="O210" s="3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4"/>
      <c r="L211" s="34"/>
      <c r="M211" s="34"/>
      <c r="N211" s="34"/>
      <c r="O211" s="3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4"/>
      <c r="L212" s="34"/>
      <c r="M212" s="34"/>
      <c r="N212" s="34"/>
      <c r="O212" s="3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4"/>
      <c r="L213" s="34"/>
      <c r="M213" s="34"/>
      <c r="N213" s="34"/>
      <c r="O213" s="3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4"/>
      <c r="L214" s="34"/>
      <c r="M214" s="34"/>
      <c r="N214" s="34"/>
      <c r="O214" s="3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4"/>
      <c r="L215" s="34"/>
      <c r="M215" s="34"/>
      <c r="N215" s="34"/>
      <c r="O215" s="3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4"/>
      <c r="L216" s="34"/>
      <c r="M216" s="34"/>
      <c r="N216" s="34"/>
      <c r="O216" s="3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4"/>
      <c r="L217" s="34"/>
      <c r="M217" s="34"/>
      <c r="N217" s="34"/>
      <c r="O217" s="3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4"/>
      <c r="L218" s="34"/>
      <c r="M218" s="34"/>
      <c r="N218" s="34"/>
      <c r="O218" s="3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4"/>
      <c r="L219" s="34"/>
      <c r="M219" s="34"/>
      <c r="N219" s="34"/>
      <c r="O219" s="3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4"/>
      <c r="L220" s="34"/>
      <c r="M220" s="34"/>
      <c r="N220" s="34"/>
      <c r="O220" s="3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4"/>
      <c r="L221" s="34"/>
      <c r="M221" s="34"/>
      <c r="N221" s="34"/>
      <c r="O221" s="3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4"/>
      <c r="L222" s="34"/>
      <c r="M222" s="34"/>
      <c r="N222" s="34"/>
      <c r="O222" s="3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4"/>
      <c r="L223" s="34"/>
      <c r="M223" s="34"/>
      <c r="N223" s="34"/>
      <c r="O223" s="3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4"/>
      <c r="L224" s="34"/>
      <c r="M224" s="34"/>
      <c r="N224" s="34"/>
      <c r="O224" s="3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4"/>
      <c r="L225" s="34"/>
      <c r="M225" s="34"/>
      <c r="N225" s="34"/>
      <c r="O225" s="3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4"/>
      <c r="L226" s="34"/>
      <c r="M226" s="34"/>
      <c r="N226" s="34"/>
      <c r="O226" s="3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4"/>
      <c r="L227" s="34"/>
      <c r="M227" s="34"/>
      <c r="N227" s="34"/>
      <c r="O227" s="3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4"/>
      <c r="L228" s="34"/>
      <c r="M228" s="34"/>
      <c r="N228" s="34"/>
      <c r="O228" s="3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4"/>
      <c r="L229" s="34"/>
      <c r="M229" s="34"/>
      <c r="N229" s="34"/>
      <c r="O229" s="3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4"/>
      <c r="L230" s="34"/>
      <c r="M230" s="34"/>
      <c r="N230" s="34"/>
      <c r="O230" s="3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4"/>
      <c r="L231" s="34"/>
      <c r="M231" s="34"/>
      <c r="N231" s="34"/>
      <c r="O231" s="3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4"/>
      <c r="L232" s="34"/>
      <c r="M232" s="34"/>
      <c r="N232" s="34"/>
      <c r="O232" s="3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4"/>
      <c r="L233" s="34"/>
      <c r="M233" s="34"/>
      <c r="N233" s="34"/>
      <c r="O233" s="3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4"/>
      <c r="L234" s="34"/>
      <c r="M234" s="34"/>
      <c r="N234" s="34"/>
      <c r="O234" s="3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4"/>
      <c r="L235" s="34"/>
      <c r="M235" s="34"/>
      <c r="N235" s="34"/>
      <c r="O235" s="3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4"/>
      <c r="L236" s="34"/>
      <c r="M236" s="34"/>
      <c r="N236" s="34"/>
      <c r="O236" s="3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4"/>
      <c r="L237" s="34"/>
      <c r="M237" s="34"/>
      <c r="N237" s="34"/>
      <c r="O237" s="3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4"/>
      <c r="L238" s="34"/>
      <c r="M238" s="34"/>
      <c r="N238" s="34"/>
      <c r="O238" s="3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4"/>
      <c r="L239" s="34"/>
      <c r="M239" s="34"/>
      <c r="N239" s="34"/>
      <c r="O239" s="3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4"/>
      <c r="L240" s="34"/>
      <c r="M240" s="34"/>
      <c r="N240" s="34"/>
      <c r="O240" s="3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4"/>
      <c r="L241" s="34"/>
      <c r="M241" s="34"/>
      <c r="N241" s="34"/>
      <c r="O241" s="3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4"/>
      <c r="L242" s="34"/>
      <c r="M242" s="34"/>
      <c r="N242" s="34"/>
      <c r="O242" s="3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4"/>
      <c r="L243" s="34"/>
      <c r="M243" s="34"/>
      <c r="N243" s="34"/>
      <c r="O243" s="3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4"/>
      <c r="L244" s="34"/>
      <c r="M244" s="34"/>
      <c r="N244" s="34"/>
      <c r="O244" s="3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3" width="18.63"/>
  </cols>
  <sheetData>
    <row r="1">
      <c r="A1" s="1" t="s">
        <v>0</v>
      </c>
      <c r="B1" s="2"/>
      <c r="D1" s="1"/>
      <c r="E1" s="7"/>
      <c r="F1" s="7"/>
      <c r="G1" s="7"/>
      <c r="H1" s="7"/>
      <c r="I1" s="11"/>
      <c r="J1" s="14"/>
      <c r="K1" s="18"/>
      <c r="L1" s="18"/>
      <c r="M1" s="18"/>
      <c r="N1" s="18"/>
      <c r="O1" s="18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20" t="s">
        <v>11</v>
      </c>
      <c r="B2" s="20" t="s">
        <v>12</v>
      </c>
      <c r="C2" s="22"/>
      <c r="D2" s="23"/>
      <c r="E2" s="24"/>
      <c r="F2" s="25"/>
      <c r="G2" s="25"/>
      <c r="H2" s="25"/>
      <c r="I2" s="25"/>
      <c r="J2" s="25"/>
      <c r="K2" s="18"/>
      <c r="L2" s="18"/>
      <c r="M2" s="18"/>
      <c r="N2" s="18"/>
      <c r="O2" s="18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20" t="s">
        <v>17</v>
      </c>
      <c r="B3" s="20" t="s">
        <v>18</v>
      </c>
      <c r="C3" s="22" t="s">
        <v>4</v>
      </c>
      <c r="D3" s="22" t="s">
        <v>7</v>
      </c>
      <c r="E3" s="24" t="s">
        <v>19</v>
      </c>
      <c r="F3" s="30" t="s">
        <v>1</v>
      </c>
      <c r="G3" s="24" t="s">
        <v>22</v>
      </c>
      <c r="H3" s="30" t="s">
        <v>23</v>
      </c>
      <c r="I3" s="24" t="s">
        <v>24</v>
      </c>
      <c r="J3" s="30" t="s">
        <v>25</v>
      </c>
      <c r="K3" s="18"/>
      <c r="L3" s="18"/>
      <c r="M3" s="18"/>
      <c r="N3" s="18"/>
      <c r="O3" s="18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34"/>
      <c r="L9" s="34"/>
      <c r="M9" s="34"/>
      <c r="N9" s="34"/>
      <c r="O9" s="3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34"/>
      <c r="L10" s="34"/>
      <c r="M10" s="34"/>
      <c r="N10" s="34"/>
      <c r="O10" s="3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34"/>
      <c r="L11" s="34"/>
      <c r="M11" s="34"/>
      <c r="N11" s="34"/>
      <c r="O11" s="3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34"/>
      <c r="L12" s="34"/>
      <c r="M12" s="34"/>
      <c r="N12" s="34"/>
      <c r="O12" s="3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4"/>
      <c r="L13" s="34"/>
      <c r="M13" s="34"/>
      <c r="N13" s="34"/>
      <c r="O13" s="3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4"/>
      <c r="L14" s="34"/>
      <c r="M14" s="34"/>
      <c r="N14" s="34"/>
      <c r="O14" s="3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4"/>
      <c r="L15" s="34"/>
      <c r="M15" s="34"/>
      <c r="N15" s="34"/>
      <c r="O15" s="3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4"/>
      <c r="L16" s="34"/>
      <c r="M16" s="34"/>
      <c r="N16" s="34"/>
      <c r="O16" s="3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4"/>
      <c r="L17" s="34"/>
      <c r="M17" s="34"/>
      <c r="N17" s="34"/>
      <c r="O17" s="3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4"/>
      <c r="L18" s="34"/>
      <c r="M18" s="34"/>
      <c r="N18" s="34"/>
      <c r="O18" s="3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4"/>
      <c r="L19" s="34"/>
      <c r="M19" s="34"/>
      <c r="N19" s="34"/>
      <c r="O19" s="3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4"/>
      <c r="L20" s="34"/>
      <c r="M20" s="34"/>
      <c r="N20" s="34"/>
      <c r="O20" s="3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4"/>
      <c r="L21" s="34"/>
      <c r="M21" s="34"/>
      <c r="N21" s="34"/>
      <c r="O21" s="3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4"/>
      <c r="L22" s="34"/>
      <c r="M22" s="34"/>
      <c r="N22" s="34"/>
      <c r="O22" s="3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4"/>
      <c r="L23" s="34"/>
      <c r="M23" s="34"/>
      <c r="N23" s="34"/>
      <c r="O23" s="3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4"/>
      <c r="L24" s="34"/>
      <c r="M24" s="34"/>
      <c r="N24" s="34"/>
      <c r="O24" s="3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4"/>
      <c r="L25" s="34"/>
      <c r="M25" s="34"/>
      <c r="N25" s="34"/>
      <c r="O25" s="3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4"/>
      <c r="L26" s="34"/>
      <c r="M26" s="34"/>
      <c r="N26" s="34"/>
      <c r="O26" s="3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4"/>
      <c r="L27" s="34"/>
      <c r="M27" s="34"/>
      <c r="N27" s="34"/>
      <c r="O27" s="3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4"/>
      <c r="L28" s="34"/>
      <c r="M28" s="34"/>
      <c r="N28" s="34"/>
      <c r="O28" s="3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4"/>
      <c r="L29" s="34"/>
      <c r="M29" s="34"/>
      <c r="N29" s="34"/>
      <c r="O29" s="3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4"/>
      <c r="L30" s="34"/>
      <c r="M30" s="34"/>
      <c r="N30" s="34"/>
      <c r="O30" s="3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4"/>
      <c r="L31" s="34"/>
      <c r="M31" s="34"/>
      <c r="N31" s="34"/>
      <c r="O31" s="3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4"/>
      <c r="L32" s="34"/>
      <c r="M32" s="34"/>
      <c r="N32" s="34"/>
      <c r="O32" s="3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4"/>
      <c r="L33" s="34"/>
      <c r="M33" s="34"/>
      <c r="N33" s="34"/>
      <c r="O33" s="3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4"/>
      <c r="L34" s="34"/>
      <c r="M34" s="34"/>
      <c r="N34" s="34"/>
      <c r="O34" s="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4"/>
      <c r="L35" s="34"/>
      <c r="M35" s="34"/>
      <c r="N35" s="34"/>
      <c r="O35" s="3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4"/>
      <c r="L36" s="34"/>
      <c r="M36" s="34"/>
      <c r="N36" s="34"/>
      <c r="O36" s="3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4"/>
      <c r="L37" s="34"/>
      <c r="M37" s="34"/>
      <c r="N37" s="34"/>
      <c r="O37" s="3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4"/>
      <c r="L38" s="34"/>
      <c r="M38" s="34"/>
      <c r="N38" s="34"/>
      <c r="O38" s="3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4"/>
      <c r="L39" s="34"/>
      <c r="M39" s="34"/>
      <c r="N39" s="34"/>
      <c r="O39" s="3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4"/>
      <c r="L40" s="34"/>
      <c r="M40" s="34"/>
      <c r="N40" s="34"/>
      <c r="O40" s="3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4"/>
      <c r="L41" s="34"/>
      <c r="M41" s="34"/>
      <c r="N41" s="34"/>
      <c r="O41" s="3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4"/>
      <c r="L42" s="34"/>
      <c r="M42" s="34"/>
      <c r="N42" s="34"/>
      <c r="O42" s="3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4"/>
      <c r="L43" s="34"/>
      <c r="M43" s="34"/>
      <c r="N43" s="34"/>
      <c r="O43" s="3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4"/>
      <c r="L44" s="34"/>
      <c r="M44" s="34"/>
      <c r="N44" s="34"/>
      <c r="O44" s="3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4"/>
      <c r="L45" s="34"/>
      <c r="M45" s="34"/>
      <c r="N45" s="34"/>
      <c r="O45" s="3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4"/>
      <c r="L46" s="34"/>
      <c r="M46" s="34"/>
      <c r="N46" s="34"/>
      <c r="O46" s="3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4"/>
      <c r="L47" s="34"/>
      <c r="M47" s="34"/>
      <c r="N47" s="34"/>
      <c r="O47" s="3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4"/>
      <c r="L48" s="34"/>
      <c r="M48" s="34"/>
      <c r="N48" s="34"/>
      <c r="O48" s="3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4"/>
      <c r="L49" s="34"/>
      <c r="M49" s="34"/>
      <c r="N49" s="34"/>
      <c r="O49" s="3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4"/>
      <c r="L50" s="34"/>
      <c r="M50" s="34"/>
      <c r="N50" s="34"/>
      <c r="O50" s="3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4"/>
      <c r="L51" s="34"/>
      <c r="M51" s="34"/>
      <c r="N51" s="34"/>
      <c r="O51" s="3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4"/>
      <c r="L52" s="34"/>
      <c r="M52" s="34"/>
      <c r="N52" s="34"/>
      <c r="O52" s="3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4"/>
      <c r="L53" s="34"/>
      <c r="M53" s="34"/>
      <c r="N53" s="34"/>
      <c r="O53" s="3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4"/>
      <c r="L54" s="34"/>
      <c r="M54" s="34"/>
      <c r="N54" s="34"/>
      <c r="O54" s="3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4"/>
      <c r="L55" s="34"/>
      <c r="M55" s="34"/>
      <c r="N55" s="34"/>
      <c r="O55" s="3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4"/>
      <c r="L56" s="34"/>
      <c r="M56" s="34"/>
      <c r="N56" s="34"/>
      <c r="O56" s="3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4"/>
      <c r="L57" s="34"/>
      <c r="M57" s="34"/>
      <c r="N57" s="34"/>
      <c r="O57" s="3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4"/>
      <c r="L58" s="34"/>
      <c r="M58" s="34"/>
      <c r="N58" s="34"/>
      <c r="O58" s="3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4"/>
      <c r="L59" s="34"/>
      <c r="M59" s="34"/>
      <c r="N59" s="34"/>
      <c r="O59" s="3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4"/>
      <c r="L60" s="34"/>
      <c r="M60" s="34"/>
      <c r="N60" s="34"/>
      <c r="O60" s="3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4"/>
      <c r="L61" s="34"/>
      <c r="M61" s="34"/>
      <c r="N61" s="34"/>
      <c r="O61" s="3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4"/>
      <c r="L62" s="34"/>
      <c r="M62" s="34"/>
      <c r="N62" s="34"/>
      <c r="O62" s="3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4"/>
      <c r="L63" s="34"/>
      <c r="M63" s="34"/>
      <c r="N63" s="34"/>
      <c r="O63" s="3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4"/>
      <c r="L64" s="34"/>
      <c r="M64" s="34"/>
      <c r="N64" s="34"/>
      <c r="O64" s="3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4"/>
      <c r="L65" s="34"/>
      <c r="M65" s="34"/>
      <c r="N65" s="34"/>
      <c r="O65" s="3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4"/>
      <c r="L66" s="34"/>
      <c r="M66" s="34"/>
      <c r="N66" s="34"/>
      <c r="O66" s="3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4"/>
      <c r="L67" s="34"/>
      <c r="M67" s="34"/>
      <c r="N67" s="34"/>
      <c r="O67" s="3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4"/>
      <c r="L68" s="34"/>
      <c r="M68" s="34"/>
      <c r="N68" s="34"/>
      <c r="O68" s="3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4"/>
      <c r="L69" s="34"/>
      <c r="M69" s="34"/>
      <c r="N69" s="34"/>
      <c r="O69" s="3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4"/>
      <c r="L70" s="34"/>
      <c r="M70" s="34"/>
      <c r="N70" s="34"/>
      <c r="O70" s="3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4"/>
      <c r="L71" s="34"/>
      <c r="M71" s="34"/>
      <c r="N71" s="34"/>
      <c r="O71" s="3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4"/>
      <c r="L72" s="34"/>
      <c r="M72" s="34"/>
      <c r="N72" s="34"/>
      <c r="O72" s="3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4"/>
      <c r="L73" s="34"/>
      <c r="M73" s="34"/>
      <c r="N73" s="34"/>
      <c r="O73" s="3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4"/>
      <c r="L74" s="34"/>
      <c r="M74" s="34"/>
      <c r="N74" s="34"/>
      <c r="O74" s="3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4"/>
      <c r="L75" s="34"/>
      <c r="M75" s="34"/>
      <c r="N75" s="34"/>
      <c r="O75" s="3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4"/>
      <c r="L76" s="34"/>
      <c r="M76" s="34"/>
      <c r="N76" s="34"/>
      <c r="O76" s="3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4"/>
      <c r="L77" s="34"/>
      <c r="M77" s="34"/>
      <c r="N77" s="34"/>
      <c r="O77" s="3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4"/>
      <c r="L78" s="34"/>
      <c r="M78" s="34"/>
      <c r="N78" s="34"/>
      <c r="O78" s="3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4"/>
      <c r="L79" s="34"/>
      <c r="M79" s="34"/>
      <c r="N79" s="34"/>
      <c r="O79" s="3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4"/>
      <c r="L80" s="34"/>
      <c r="M80" s="34"/>
      <c r="N80" s="34"/>
      <c r="O80" s="3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4"/>
      <c r="L81" s="34"/>
      <c r="M81" s="34"/>
      <c r="N81" s="34"/>
      <c r="O81" s="3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4"/>
      <c r="L82" s="34"/>
      <c r="M82" s="34"/>
      <c r="N82" s="34"/>
      <c r="O82" s="3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4"/>
      <c r="L83" s="34"/>
      <c r="M83" s="34"/>
      <c r="N83" s="34"/>
      <c r="O83" s="3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4"/>
      <c r="L84" s="34"/>
      <c r="M84" s="34"/>
      <c r="N84" s="34"/>
      <c r="O84" s="3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4"/>
      <c r="L85" s="34"/>
      <c r="M85" s="34"/>
      <c r="N85" s="34"/>
      <c r="O85" s="3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4"/>
      <c r="L86" s="34"/>
      <c r="M86" s="34"/>
      <c r="N86" s="34"/>
      <c r="O86" s="3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4"/>
      <c r="L87" s="34"/>
      <c r="M87" s="34"/>
      <c r="N87" s="34"/>
      <c r="O87" s="3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4"/>
      <c r="L88" s="34"/>
      <c r="M88" s="34"/>
      <c r="N88" s="34"/>
      <c r="O88" s="3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4"/>
      <c r="L89" s="34"/>
      <c r="M89" s="34"/>
      <c r="N89" s="34"/>
      <c r="O89" s="3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4"/>
      <c r="L90" s="34"/>
      <c r="M90" s="34"/>
      <c r="N90" s="34"/>
      <c r="O90" s="3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4"/>
      <c r="L91" s="34"/>
      <c r="M91" s="34"/>
      <c r="N91" s="34"/>
      <c r="O91" s="3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>
      <c r="A92" s="19"/>
      <c r="B92" s="19"/>
      <c r="C92" s="27" t="s">
        <v>55</v>
      </c>
      <c r="D92" s="11" t="s">
        <v>56</v>
      </c>
      <c r="E92" s="11">
        <v>1.0</v>
      </c>
      <c r="F92" s="27" t="s">
        <v>57</v>
      </c>
      <c r="G92" s="11" t="s">
        <v>58</v>
      </c>
      <c r="H92" s="27" t="s">
        <v>59</v>
      </c>
      <c r="I92" s="11">
        <v>3.137632122E9</v>
      </c>
      <c r="J92" s="27" t="s">
        <v>60</v>
      </c>
      <c r="K92" s="34"/>
      <c r="L92" s="34"/>
      <c r="M92" s="34"/>
      <c r="N92" s="34"/>
      <c r="O92" s="3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4"/>
      <c r="L93" s="34"/>
      <c r="M93" s="34"/>
      <c r="N93" s="34"/>
      <c r="O93" s="3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4"/>
      <c r="L94" s="34"/>
      <c r="M94" s="34"/>
      <c r="N94" s="34"/>
      <c r="O94" s="3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4"/>
      <c r="L95" s="34"/>
      <c r="M95" s="34"/>
      <c r="N95" s="34"/>
      <c r="O95" s="3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4"/>
      <c r="L96" s="34"/>
      <c r="M96" s="34"/>
      <c r="N96" s="34"/>
      <c r="O96" s="3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4"/>
      <c r="L97" s="34"/>
      <c r="M97" s="34"/>
      <c r="N97" s="34"/>
      <c r="O97" s="3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4"/>
      <c r="L98" s="34"/>
      <c r="M98" s="34"/>
      <c r="N98" s="34"/>
      <c r="O98" s="3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4"/>
      <c r="L99" s="34"/>
      <c r="M99" s="34"/>
      <c r="N99" s="34"/>
      <c r="O99" s="3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4"/>
      <c r="L100" s="34"/>
      <c r="M100" s="34"/>
      <c r="N100" s="34"/>
      <c r="O100" s="3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4"/>
      <c r="L101" s="34"/>
      <c r="M101" s="34"/>
      <c r="N101" s="34"/>
      <c r="O101" s="3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4"/>
      <c r="L102" s="34"/>
      <c r="M102" s="34"/>
      <c r="N102" s="34"/>
      <c r="O102" s="3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4"/>
      <c r="L103" s="34"/>
      <c r="M103" s="34"/>
      <c r="N103" s="34"/>
      <c r="O103" s="3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4"/>
      <c r="L104" s="34"/>
      <c r="M104" s="34"/>
      <c r="N104" s="34"/>
      <c r="O104" s="3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4"/>
      <c r="L105" s="34"/>
      <c r="M105" s="34"/>
      <c r="N105" s="34"/>
      <c r="O105" s="3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4"/>
      <c r="L106" s="34"/>
      <c r="M106" s="34"/>
      <c r="N106" s="34"/>
      <c r="O106" s="3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4"/>
      <c r="L107" s="34"/>
      <c r="M107" s="34"/>
      <c r="N107" s="34"/>
      <c r="O107" s="3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4"/>
      <c r="L108" s="34"/>
      <c r="M108" s="34"/>
      <c r="N108" s="34"/>
      <c r="O108" s="3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4"/>
      <c r="L109" s="34"/>
      <c r="M109" s="34"/>
      <c r="N109" s="34"/>
      <c r="O109" s="3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4"/>
      <c r="L110" s="34"/>
      <c r="M110" s="34"/>
      <c r="N110" s="34"/>
      <c r="O110" s="3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4"/>
      <c r="L111" s="34"/>
      <c r="M111" s="34"/>
      <c r="N111" s="34"/>
      <c r="O111" s="3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4"/>
      <c r="L112" s="34"/>
      <c r="M112" s="34"/>
      <c r="N112" s="34"/>
      <c r="O112" s="3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4"/>
      <c r="L113" s="34"/>
      <c r="M113" s="34"/>
      <c r="N113" s="34"/>
      <c r="O113" s="3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4"/>
      <c r="L114" s="34"/>
      <c r="M114" s="34"/>
      <c r="N114" s="34"/>
      <c r="O114" s="3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4"/>
      <c r="L115" s="34"/>
      <c r="M115" s="34"/>
      <c r="N115" s="34"/>
      <c r="O115" s="3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4"/>
      <c r="L116" s="34"/>
      <c r="M116" s="34"/>
      <c r="N116" s="34"/>
      <c r="O116" s="3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4"/>
      <c r="L117" s="34"/>
      <c r="M117" s="34"/>
      <c r="N117" s="34"/>
      <c r="O117" s="3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4"/>
      <c r="L118" s="34"/>
      <c r="M118" s="34"/>
      <c r="N118" s="34"/>
      <c r="O118" s="3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4"/>
      <c r="L119" s="34"/>
      <c r="M119" s="34"/>
      <c r="N119" s="34"/>
      <c r="O119" s="3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4"/>
      <c r="L120" s="34"/>
      <c r="M120" s="34"/>
      <c r="N120" s="34"/>
      <c r="O120" s="3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4"/>
      <c r="L121" s="34"/>
      <c r="M121" s="34"/>
      <c r="N121" s="34"/>
      <c r="O121" s="3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4"/>
      <c r="L122" s="34"/>
      <c r="M122" s="34"/>
      <c r="N122" s="34"/>
      <c r="O122" s="3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4"/>
      <c r="L123" s="34"/>
      <c r="M123" s="34"/>
      <c r="N123" s="34"/>
      <c r="O123" s="3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4"/>
      <c r="L124" s="34"/>
      <c r="M124" s="34"/>
      <c r="N124" s="34"/>
      <c r="O124" s="3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4"/>
      <c r="L125" s="34"/>
      <c r="M125" s="34"/>
      <c r="N125" s="34"/>
      <c r="O125" s="3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4"/>
      <c r="L126" s="34"/>
      <c r="M126" s="34"/>
      <c r="N126" s="34"/>
      <c r="O126" s="3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4"/>
      <c r="L127" s="34"/>
      <c r="M127" s="34"/>
      <c r="N127" s="34"/>
      <c r="O127" s="3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4"/>
      <c r="L128" s="34"/>
      <c r="M128" s="34"/>
      <c r="N128" s="34"/>
      <c r="O128" s="3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4"/>
      <c r="L129" s="34"/>
      <c r="M129" s="34"/>
      <c r="N129" s="34"/>
      <c r="O129" s="3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4"/>
      <c r="L130" s="34"/>
      <c r="M130" s="34"/>
      <c r="N130" s="34"/>
      <c r="O130" s="3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4"/>
      <c r="L131" s="34"/>
      <c r="M131" s="34"/>
      <c r="N131" s="34"/>
      <c r="O131" s="3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4"/>
      <c r="L132" s="34"/>
      <c r="M132" s="34"/>
      <c r="N132" s="34"/>
      <c r="O132" s="3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4"/>
      <c r="L133" s="34"/>
      <c r="M133" s="34"/>
      <c r="N133" s="34"/>
      <c r="O133" s="3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4"/>
      <c r="L134" s="34"/>
      <c r="M134" s="34"/>
      <c r="N134" s="34"/>
      <c r="O134" s="3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4"/>
      <c r="L135" s="34"/>
      <c r="M135" s="34"/>
      <c r="N135" s="34"/>
      <c r="O135" s="3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4"/>
      <c r="L136" s="34"/>
      <c r="M136" s="34"/>
      <c r="N136" s="34"/>
      <c r="O136" s="3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4"/>
      <c r="L137" s="34"/>
      <c r="M137" s="34"/>
      <c r="N137" s="34"/>
      <c r="O137" s="3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4"/>
      <c r="L138" s="34"/>
      <c r="M138" s="34"/>
      <c r="N138" s="34"/>
      <c r="O138" s="3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4"/>
      <c r="L139" s="34"/>
      <c r="M139" s="34"/>
      <c r="N139" s="34"/>
      <c r="O139" s="3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4"/>
      <c r="L140" s="34"/>
      <c r="M140" s="34"/>
      <c r="N140" s="34"/>
      <c r="O140" s="3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4"/>
      <c r="L141" s="34"/>
      <c r="M141" s="34"/>
      <c r="N141" s="34"/>
      <c r="O141" s="3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4"/>
      <c r="L142" s="34"/>
      <c r="M142" s="34"/>
      <c r="N142" s="34"/>
      <c r="O142" s="3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4"/>
      <c r="L143" s="34"/>
      <c r="M143" s="34"/>
      <c r="N143" s="34"/>
      <c r="O143" s="3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4"/>
      <c r="L144" s="34"/>
      <c r="M144" s="34"/>
      <c r="N144" s="34"/>
      <c r="O144" s="3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4"/>
      <c r="L145" s="34"/>
      <c r="M145" s="34"/>
      <c r="N145" s="34"/>
      <c r="O145" s="3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4"/>
      <c r="L146" s="34"/>
      <c r="M146" s="34"/>
      <c r="N146" s="34"/>
      <c r="O146" s="3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4"/>
      <c r="L147" s="34"/>
      <c r="M147" s="34"/>
      <c r="N147" s="34"/>
      <c r="O147" s="3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4"/>
      <c r="L148" s="34"/>
      <c r="M148" s="34"/>
      <c r="N148" s="34"/>
      <c r="O148" s="3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4"/>
      <c r="L149" s="34"/>
      <c r="M149" s="34"/>
      <c r="N149" s="34"/>
      <c r="O149" s="3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4"/>
      <c r="L150" s="34"/>
      <c r="M150" s="34"/>
      <c r="N150" s="34"/>
      <c r="O150" s="3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4"/>
      <c r="L151" s="34"/>
      <c r="M151" s="34"/>
      <c r="N151" s="34"/>
      <c r="O151" s="3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4"/>
      <c r="L152" s="34"/>
      <c r="M152" s="34"/>
      <c r="N152" s="34"/>
      <c r="O152" s="3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4"/>
      <c r="L153" s="34"/>
      <c r="M153" s="34"/>
      <c r="N153" s="34"/>
      <c r="O153" s="3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4"/>
      <c r="L154" s="34"/>
      <c r="M154" s="34"/>
      <c r="N154" s="34"/>
      <c r="O154" s="3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4"/>
      <c r="L155" s="34"/>
      <c r="M155" s="34"/>
      <c r="N155" s="34"/>
      <c r="O155" s="3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4"/>
      <c r="L156" s="34"/>
      <c r="M156" s="34"/>
      <c r="N156" s="34"/>
      <c r="O156" s="3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4"/>
      <c r="L157" s="34"/>
      <c r="M157" s="34"/>
      <c r="N157" s="34"/>
      <c r="O157" s="3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4"/>
      <c r="L158" s="34"/>
      <c r="M158" s="34"/>
      <c r="N158" s="34"/>
      <c r="O158" s="3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4"/>
      <c r="L159" s="34"/>
      <c r="M159" s="34"/>
      <c r="N159" s="34"/>
      <c r="O159" s="3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4"/>
      <c r="L160" s="34"/>
      <c r="M160" s="34"/>
      <c r="N160" s="34"/>
      <c r="O160" s="3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4"/>
      <c r="L161" s="34"/>
      <c r="M161" s="34"/>
      <c r="N161" s="34"/>
      <c r="O161" s="3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4"/>
      <c r="L162" s="34"/>
      <c r="M162" s="34"/>
      <c r="N162" s="34"/>
      <c r="O162" s="3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4"/>
      <c r="L163" s="34"/>
      <c r="M163" s="34"/>
      <c r="N163" s="34"/>
      <c r="O163" s="3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4"/>
      <c r="L164" s="34"/>
      <c r="M164" s="34"/>
      <c r="N164" s="34"/>
      <c r="O164" s="3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4"/>
      <c r="L165" s="34"/>
      <c r="M165" s="34"/>
      <c r="N165" s="34"/>
      <c r="O165" s="3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4"/>
      <c r="L166" s="34"/>
      <c r="M166" s="34"/>
      <c r="N166" s="34"/>
      <c r="O166" s="3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4"/>
      <c r="L167" s="34"/>
      <c r="M167" s="34"/>
      <c r="N167" s="34"/>
      <c r="O167" s="3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4"/>
      <c r="L168" s="34"/>
      <c r="M168" s="34"/>
      <c r="N168" s="34"/>
      <c r="O168" s="3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4"/>
      <c r="L169" s="34"/>
      <c r="M169" s="34"/>
      <c r="N169" s="34"/>
      <c r="O169" s="3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4"/>
      <c r="L170" s="34"/>
      <c r="M170" s="34"/>
      <c r="N170" s="34"/>
      <c r="O170" s="3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4"/>
      <c r="L171" s="34"/>
      <c r="M171" s="34"/>
      <c r="N171" s="34"/>
      <c r="O171" s="3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4"/>
      <c r="L172" s="34"/>
      <c r="M172" s="34"/>
      <c r="N172" s="34"/>
      <c r="O172" s="3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4"/>
      <c r="L173" s="34"/>
      <c r="M173" s="34"/>
      <c r="N173" s="34"/>
      <c r="O173" s="3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4"/>
      <c r="L174" s="34"/>
      <c r="M174" s="34"/>
      <c r="N174" s="34"/>
      <c r="O174" s="3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4"/>
      <c r="L175" s="34"/>
      <c r="M175" s="34"/>
      <c r="N175" s="34"/>
      <c r="O175" s="3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4"/>
      <c r="L176" s="34"/>
      <c r="M176" s="34"/>
      <c r="N176" s="34"/>
      <c r="O176" s="3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4"/>
      <c r="L177" s="34"/>
      <c r="M177" s="34"/>
      <c r="N177" s="34"/>
      <c r="O177" s="3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4"/>
      <c r="L178" s="34"/>
      <c r="M178" s="34"/>
      <c r="N178" s="34"/>
      <c r="O178" s="3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4"/>
      <c r="L179" s="34"/>
      <c r="M179" s="34"/>
      <c r="N179" s="34"/>
      <c r="O179" s="3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4"/>
      <c r="L180" s="34"/>
      <c r="M180" s="34"/>
      <c r="N180" s="34"/>
      <c r="O180" s="3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4"/>
      <c r="L181" s="34"/>
      <c r="M181" s="34"/>
      <c r="N181" s="34"/>
      <c r="O181" s="3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4"/>
      <c r="L182" s="34"/>
      <c r="M182" s="34"/>
      <c r="N182" s="34"/>
      <c r="O182" s="3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4"/>
      <c r="L183" s="34"/>
      <c r="M183" s="34"/>
      <c r="N183" s="34"/>
      <c r="O183" s="3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4"/>
      <c r="L184" s="34"/>
      <c r="M184" s="34"/>
      <c r="N184" s="34"/>
      <c r="O184" s="3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4"/>
      <c r="L185" s="34"/>
      <c r="M185" s="34"/>
      <c r="N185" s="34"/>
      <c r="O185" s="3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4"/>
      <c r="L186" s="34"/>
      <c r="M186" s="34"/>
      <c r="N186" s="34"/>
      <c r="O186" s="3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4"/>
      <c r="L187" s="34"/>
      <c r="M187" s="34"/>
      <c r="N187" s="34"/>
      <c r="O187" s="3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4"/>
      <c r="L188" s="34"/>
      <c r="M188" s="34"/>
      <c r="N188" s="34"/>
      <c r="O188" s="3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4"/>
      <c r="L189" s="34"/>
      <c r="M189" s="34"/>
      <c r="N189" s="34"/>
      <c r="O189" s="3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4"/>
      <c r="L190" s="34"/>
      <c r="M190" s="34"/>
      <c r="N190" s="34"/>
      <c r="O190" s="3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4"/>
      <c r="L191" s="34"/>
      <c r="M191" s="34"/>
      <c r="N191" s="34"/>
      <c r="O191" s="3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4"/>
      <c r="L192" s="34"/>
      <c r="M192" s="34"/>
      <c r="N192" s="34"/>
      <c r="O192" s="3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4"/>
      <c r="L193" s="34"/>
      <c r="M193" s="34"/>
      <c r="N193" s="34"/>
      <c r="O193" s="3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4"/>
      <c r="L194" s="34"/>
      <c r="M194" s="34"/>
      <c r="N194" s="34"/>
      <c r="O194" s="3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4"/>
      <c r="L195" s="34"/>
      <c r="M195" s="34"/>
      <c r="N195" s="34"/>
      <c r="O195" s="3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4"/>
      <c r="L196" s="34"/>
      <c r="M196" s="34"/>
      <c r="N196" s="34"/>
      <c r="O196" s="3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4"/>
      <c r="L197" s="34"/>
      <c r="M197" s="34"/>
      <c r="N197" s="34"/>
      <c r="O197" s="3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4"/>
      <c r="L198" s="34"/>
      <c r="M198" s="34"/>
      <c r="N198" s="34"/>
      <c r="O198" s="3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4"/>
      <c r="L199" s="34"/>
      <c r="M199" s="34"/>
      <c r="N199" s="34"/>
      <c r="O199" s="3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4"/>
      <c r="L200" s="34"/>
      <c r="M200" s="34"/>
      <c r="N200" s="34"/>
      <c r="O200" s="3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4"/>
      <c r="L201" s="34"/>
      <c r="M201" s="34"/>
      <c r="N201" s="34"/>
      <c r="O201" s="3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4"/>
      <c r="L202" s="34"/>
      <c r="M202" s="34"/>
      <c r="N202" s="34"/>
      <c r="O202" s="3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4"/>
      <c r="L203" s="34"/>
      <c r="M203" s="34"/>
      <c r="N203" s="34"/>
      <c r="O203" s="3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4"/>
      <c r="L204" s="34"/>
      <c r="M204" s="34"/>
      <c r="N204" s="34"/>
      <c r="O204" s="3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4"/>
      <c r="L205" s="34"/>
      <c r="M205" s="34"/>
      <c r="N205" s="34"/>
      <c r="O205" s="3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4"/>
      <c r="L206" s="34"/>
      <c r="M206" s="34"/>
      <c r="N206" s="34"/>
      <c r="O206" s="3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4"/>
      <c r="L207" s="34"/>
      <c r="M207" s="34"/>
      <c r="N207" s="34"/>
      <c r="O207" s="3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4"/>
      <c r="L208" s="34"/>
      <c r="M208" s="34"/>
      <c r="N208" s="34"/>
      <c r="O208" s="3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4"/>
      <c r="L209" s="34"/>
      <c r="M209" s="34"/>
      <c r="N209" s="34"/>
      <c r="O209" s="3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4"/>
      <c r="L210" s="34"/>
      <c r="M210" s="34"/>
      <c r="N210" s="34"/>
      <c r="O210" s="3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4"/>
      <c r="L211" s="34"/>
      <c r="M211" s="34"/>
      <c r="N211" s="34"/>
      <c r="O211" s="3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4"/>
      <c r="L212" s="34"/>
      <c r="M212" s="34"/>
      <c r="N212" s="34"/>
      <c r="O212" s="3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4"/>
      <c r="L213" s="34"/>
      <c r="M213" s="34"/>
      <c r="N213" s="34"/>
      <c r="O213" s="3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4"/>
      <c r="L214" s="34"/>
      <c r="M214" s="34"/>
      <c r="N214" s="34"/>
      <c r="O214" s="3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4"/>
      <c r="L215" s="34"/>
      <c r="M215" s="34"/>
      <c r="N215" s="34"/>
      <c r="O215" s="3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4"/>
      <c r="L216" s="34"/>
      <c r="M216" s="34"/>
      <c r="N216" s="34"/>
      <c r="O216" s="3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4"/>
      <c r="L217" s="34"/>
      <c r="M217" s="34"/>
      <c r="N217" s="34"/>
      <c r="O217" s="3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4"/>
      <c r="L218" s="34"/>
      <c r="M218" s="34"/>
      <c r="N218" s="34"/>
      <c r="O218" s="3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4"/>
      <c r="L219" s="34"/>
      <c r="M219" s="34"/>
      <c r="N219" s="34"/>
      <c r="O219" s="3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4"/>
      <c r="L220" s="34"/>
      <c r="M220" s="34"/>
      <c r="N220" s="34"/>
      <c r="O220" s="3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4"/>
      <c r="L221" s="34"/>
      <c r="M221" s="34"/>
      <c r="N221" s="34"/>
      <c r="O221" s="3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4"/>
      <c r="L222" s="34"/>
      <c r="M222" s="34"/>
      <c r="N222" s="34"/>
      <c r="O222" s="3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4"/>
      <c r="L223" s="34"/>
      <c r="M223" s="34"/>
      <c r="N223" s="34"/>
      <c r="O223" s="3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4"/>
      <c r="L224" s="34"/>
      <c r="M224" s="34"/>
      <c r="N224" s="34"/>
      <c r="O224" s="3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4"/>
      <c r="L225" s="34"/>
      <c r="M225" s="34"/>
      <c r="N225" s="34"/>
      <c r="O225" s="3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4"/>
      <c r="L226" s="34"/>
      <c r="M226" s="34"/>
      <c r="N226" s="34"/>
      <c r="O226" s="3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4"/>
      <c r="L227" s="34"/>
      <c r="M227" s="34"/>
      <c r="N227" s="34"/>
      <c r="O227" s="3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4"/>
      <c r="L228" s="34"/>
      <c r="M228" s="34"/>
      <c r="N228" s="34"/>
      <c r="O228" s="3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4"/>
      <c r="L229" s="34"/>
      <c r="M229" s="34"/>
      <c r="N229" s="34"/>
      <c r="O229" s="3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4"/>
      <c r="L230" s="34"/>
      <c r="M230" s="34"/>
      <c r="N230" s="34"/>
      <c r="O230" s="3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4"/>
      <c r="L231" s="34"/>
      <c r="M231" s="34"/>
      <c r="N231" s="34"/>
      <c r="O231" s="3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4"/>
      <c r="L232" s="34"/>
      <c r="M232" s="34"/>
      <c r="N232" s="34"/>
      <c r="O232" s="3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4"/>
      <c r="L233" s="34"/>
      <c r="M233" s="34"/>
      <c r="N233" s="34"/>
      <c r="O233" s="3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4"/>
      <c r="L234" s="34"/>
      <c r="M234" s="34"/>
      <c r="N234" s="34"/>
      <c r="O234" s="3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4"/>
      <c r="L235" s="34"/>
      <c r="M235" s="34"/>
      <c r="N235" s="34"/>
      <c r="O235" s="3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5" t="s">
        <v>1</v>
      </c>
      <c r="B1" s="8" t="s">
        <v>0</v>
      </c>
      <c r="C1" s="3"/>
      <c r="D1" s="3"/>
      <c r="E1" s="12" t="s">
        <v>6</v>
      </c>
      <c r="F1" s="17">
        <v>3000.0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21" t="s">
        <v>4</v>
      </c>
      <c r="B3" s="21" t="s">
        <v>7</v>
      </c>
      <c r="C3" s="21" t="s">
        <v>8</v>
      </c>
      <c r="D3" s="21" t="s">
        <v>14</v>
      </c>
      <c r="E3" s="21" t="s">
        <v>15</v>
      </c>
      <c r="F3" s="21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26"/>
      <c r="B4" s="28"/>
      <c r="C4" s="29"/>
      <c r="D4" s="28"/>
      <c r="E4" s="29"/>
      <c r="F4" s="2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26"/>
      <c r="B5" s="28"/>
      <c r="C5" s="29"/>
      <c r="D5" s="28"/>
      <c r="E5" s="29"/>
      <c r="F5" s="2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26"/>
      <c r="B6" s="28"/>
      <c r="C6" s="29"/>
      <c r="D6" s="28"/>
      <c r="E6" s="29"/>
      <c r="F6" s="2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26"/>
      <c r="B7" s="28"/>
      <c r="C7" s="29"/>
      <c r="D7" s="28"/>
      <c r="E7" s="29"/>
      <c r="F7" s="2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26" t="s">
        <v>15</v>
      </c>
      <c r="B8" s="7"/>
      <c r="C8" s="32"/>
      <c r="D8" s="28">
        <f t="shared" ref="D8:F8" si="1">SUM(D4:D7)</f>
        <v>0</v>
      </c>
      <c r="E8" s="33">
        <f t="shared" si="1"/>
        <v>0</v>
      </c>
      <c r="F8" s="33">
        <f t="shared" si="1"/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26" t="s">
        <v>29</v>
      </c>
      <c r="B9" s="7"/>
      <c r="C9" s="29"/>
      <c r="D9" s="28">
        <f t="shared" ref="D9:D10" si="2">D8</f>
        <v>0</v>
      </c>
      <c r="E9" s="29">
        <f>C9*D9</f>
        <v>0</v>
      </c>
      <c r="F9" s="33">
        <f>E9/F1</f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26" t="s">
        <v>15</v>
      </c>
      <c r="B10" s="7"/>
      <c r="C10" s="32"/>
      <c r="D10" s="28">
        <f t="shared" si="2"/>
        <v>0</v>
      </c>
      <c r="E10" s="29">
        <f>E8+E9</f>
        <v>0</v>
      </c>
      <c r="F10" s="29">
        <f>E10/F1</f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26"/>
      <c r="B11" s="7"/>
      <c r="C11" s="7"/>
      <c r="D11" s="7"/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26" t="s">
        <v>37</v>
      </c>
      <c r="B12" s="7"/>
      <c r="C12" s="7"/>
      <c r="D12" s="7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37" t="s">
        <v>0</v>
      </c>
      <c r="B13" s="37" t="s">
        <v>38</v>
      </c>
      <c r="C13" s="32"/>
      <c r="D13" s="7"/>
      <c r="E13" s="32"/>
      <c r="F13" s="17">
        <v>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37" t="s">
        <v>0</v>
      </c>
      <c r="B14" s="37" t="s">
        <v>38</v>
      </c>
      <c r="C14" s="32"/>
      <c r="D14" s="7"/>
      <c r="E14" s="32"/>
      <c r="F14" s="17">
        <v>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38" t="s">
        <v>39</v>
      </c>
      <c r="B15" s="7"/>
      <c r="C15" s="32"/>
      <c r="D15" s="7"/>
      <c r="E15" s="32"/>
      <c r="F15" s="17">
        <v>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7"/>
      <c r="C1" s="7"/>
      <c r="D1" s="7"/>
    </row>
    <row r="2">
      <c r="A2" s="10" t="s">
        <v>4</v>
      </c>
      <c r="B2" s="10" t="s">
        <v>7</v>
      </c>
      <c r="C2" s="10" t="s">
        <v>8</v>
      </c>
      <c r="D2" s="13" t="s">
        <v>9</v>
      </c>
    </row>
    <row r="3">
      <c r="A3" s="16"/>
      <c r="B3" s="16"/>
      <c r="C3" s="16"/>
      <c r="D3" s="16"/>
    </row>
    <row r="4">
      <c r="A4" s="16"/>
      <c r="B4" s="16"/>
      <c r="C4" s="16"/>
      <c r="D4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B1" s="35" t="s">
        <v>7</v>
      </c>
      <c r="C1" s="36" t="s">
        <v>8</v>
      </c>
      <c r="D1" s="35" t="s">
        <v>31</v>
      </c>
      <c r="E1" s="35" t="s">
        <v>15</v>
      </c>
      <c r="F1" s="36" t="s">
        <v>32</v>
      </c>
      <c r="G1" s="36" t="s">
        <v>33</v>
      </c>
      <c r="H1" s="36" t="s">
        <v>34</v>
      </c>
      <c r="I1" s="35" t="s">
        <v>35</v>
      </c>
      <c r="J1" s="35" t="s">
        <v>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40"/>
      <c r="C1" s="41"/>
    </row>
    <row r="2">
      <c r="A2" s="42" t="s">
        <v>40</v>
      </c>
      <c r="B2" s="43" t="s">
        <v>41</v>
      </c>
      <c r="C2" s="44" t="s">
        <v>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45" t="s">
        <v>43</v>
      </c>
      <c r="B1" s="4" t="s">
        <v>2</v>
      </c>
      <c r="C1" s="7"/>
      <c r="D1" s="7"/>
      <c r="E1" s="7"/>
    </row>
    <row r="2">
      <c r="A2" s="10" t="s">
        <v>44</v>
      </c>
      <c r="B2" s="46" t="s">
        <v>17</v>
      </c>
      <c r="C2" s="46" t="s">
        <v>18</v>
      </c>
      <c r="D2" s="10" t="s">
        <v>4</v>
      </c>
      <c r="E2" s="10" t="s">
        <v>7</v>
      </c>
      <c r="F2" s="10" t="s">
        <v>8</v>
      </c>
      <c r="G2" s="13" t="s">
        <v>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75"/>
  </cols>
  <sheetData>
    <row r="1">
      <c r="A1" s="47" t="s">
        <v>45</v>
      </c>
      <c r="C1" s="47" t="s">
        <v>0</v>
      </c>
      <c r="D1" s="16"/>
      <c r="E1" s="48"/>
      <c r="F1" s="49" t="s">
        <v>15</v>
      </c>
      <c r="G1" s="50">
        <f t="shared" ref="G1:I1" si="1">SUM(G3:G68)</f>
        <v>0</v>
      </c>
      <c r="H1" s="51">
        <f t="shared" si="1"/>
        <v>0</v>
      </c>
      <c r="I1" s="52">
        <f t="shared" si="1"/>
        <v>0</v>
      </c>
    </row>
    <row r="2">
      <c r="A2" s="46" t="s">
        <v>17</v>
      </c>
      <c r="B2" s="46" t="s">
        <v>18</v>
      </c>
      <c r="C2" s="53" t="s">
        <v>4</v>
      </c>
      <c r="D2" s="53" t="s">
        <v>7</v>
      </c>
      <c r="E2" s="53" t="s">
        <v>46</v>
      </c>
      <c r="F2" s="53" t="s">
        <v>8</v>
      </c>
      <c r="G2" s="53" t="s">
        <v>44</v>
      </c>
      <c r="H2" s="53" t="s">
        <v>47</v>
      </c>
      <c r="I2" s="53" t="s">
        <v>48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6"/>
      <c r="B5" s="16"/>
      <c r="C5" s="16"/>
      <c r="D5" s="16"/>
      <c r="E5" s="16"/>
      <c r="F5" s="16"/>
      <c r="G5" s="16"/>
      <c r="H5" s="16"/>
      <c r="I5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75"/>
  </cols>
  <sheetData>
    <row r="1">
      <c r="A1" s="47" t="s">
        <v>45</v>
      </c>
      <c r="C1" s="47" t="s">
        <v>0</v>
      </c>
      <c r="D1" s="16"/>
      <c r="E1" s="50">
        <f t="shared" ref="E1:F1" si="1">SUM(E3:E68)</f>
        <v>0</v>
      </c>
      <c r="F1" s="50">
        <f t="shared" si="1"/>
        <v>0</v>
      </c>
    </row>
    <row r="2">
      <c r="A2" s="46" t="s">
        <v>17</v>
      </c>
      <c r="B2" s="46" t="s">
        <v>18</v>
      </c>
      <c r="C2" s="53" t="s">
        <v>4</v>
      </c>
      <c r="D2" s="53" t="s">
        <v>7</v>
      </c>
      <c r="E2" s="54" t="s">
        <v>49</v>
      </c>
      <c r="F2" s="53" t="s">
        <v>44</v>
      </c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0</v>
      </c>
      <c r="B1" s="56"/>
      <c r="C1" s="57" t="s">
        <v>50</v>
      </c>
      <c r="D1" s="58" t="s">
        <v>51</v>
      </c>
      <c r="E1" s="3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>
      <c r="A2" s="56"/>
      <c r="B2" s="56"/>
      <c r="C2" s="57" t="s">
        <v>52</v>
      </c>
      <c r="D2" s="60" t="s">
        <v>51</v>
      </c>
      <c r="E2" s="3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>
      <c r="A3" s="56"/>
      <c r="B3" s="56"/>
      <c r="C3" s="57" t="s">
        <v>53</v>
      </c>
      <c r="D3" s="58" t="s">
        <v>6</v>
      </c>
      <c r="E3" s="3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>
      <c r="A4" s="56"/>
      <c r="B4" s="56"/>
      <c r="C4" s="56"/>
      <c r="D4" s="56"/>
      <c r="E4" s="56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>
      <c r="A5" s="61" t="s">
        <v>54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</row>
    <row r="6">
      <c r="A6" s="64" t="s">
        <v>15</v>
      </c>
      <c r="B6" s="65"/>
      <c r="C6" s="64" t="s">
        <v>15</v>
      </c>
      <c r="D6" s="65"/>
      <c r="E6" s="64">
        <f>sum(E8:E115)</f>
        <v>0</v>
      </c>
      <c r="F6" s="65"/>
      <c r="G6" s="66">
        <f>sum(G8:G115)</f>
        <v>0</v>
      </c>
      <c r="H6" s="65"/>
      <c r="I6" s="67">
        <f t="shared" ref="I6:K6" si="1">sum(I8:I115)</f>
        <v>0</v>
      </c>
      <c r="J6" s="67">
        <f t="shared" si="1"/>
        <v>0</v>
      </c>
      <c r="K6" s="67">
        <f t="shared" si="1"/>
        <v>0</v>
      </c>
      <c r="L6" s="65"/>
      <c r="M6" s="67">
        <f>SUM(M8:M31)</f>
        <v>0</v>
      </c>
      <c r="N6" s="65"/>
      <c r="O6" s="65"/>
      <c r="P6" s="68">
        <f>SUM(P8:P111)</f>
        <v>0</v>
      </c>
    </row>
    <row r="7">
      <c r="A7" s="64" t="s">
        <v>61</v>
      </c>
      <c r="B7" s="64" t="s">
        <v>62</v>
      </c>
      <c r="C7" s="64" t="s">
        <v>30</v>
      </c>
      <c r="D7" s="64" t="s">
        <v>7</v>
      </c>
      <c r="E7" s="64" t="s">
        <v>14</v>
      </c>
      <c r="F7" s="69" t="s">
        <v>63</v>
      </c>
      <c r="G7" s="70" t="s">
        <v>64</v>
      </c>
      <c r="H7" s="69" t="s">
        <v>65</v>
      </c>
      <c r="I7" s="70" t="s">
        <v>66</v>
      </c>
      <c r="J7" s="70" t="s">
        <v>67</v>
      </c>
      <c r="K7" s="70" t="s">
        <v>68</v>
      </c>
      <c r="L7" s="71" t="s">
        <v>69</v>
      </c>
      <c r="M7" s="70" t="s">
        <v>70</v>
      </c>
      <c r="N7" s="72" t="s">
        <v>71</v>
      </c>
      <c r="O7" s="70" t="s">
        <v>72</v>
      </c>
      <c r="P7" s="70" t="s">
        <v>73</v>
      </c>
    </row>
  </sheetData>
  <mergeCells count="1">
    <mergeCell ref="A5:P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3" max="3" width="10.88"/>
    <col customWidth="1" min="4" max="4" width="16.0"/>
  </cols>
  <sheetData>
    <row r="1">
      <c r="A1" s="73" t="s">
        <v>74</v>
      </c>
      <c r="B1" s="62"/>
      <c r="C1" s="62"/>
      <c r="D1" s="62"/>
      <c r="E1" s="63"/>
    </row>
    <row r="2">
      <c r="A2" s="74" t="s">
        <v>6</v>
      </c>
      <c r="B2" s="75"/>
      <c r="C2" s="76"/>
      <c r="D2" s="76"/>
      <c r="E2" s="77" t="s">
        <v>75</v>
      </c>
    </row>
    <row r="3">
      <c r="A3" s="74" t="s">
        <v>76</v>
      </c>
      <c r="B3" s="78"/>
      <c r="C3" s="79"/>
      <c r="D3" s="79"/>
      <c r="E3" s="77">
        <v>312.0</v>
      </c>
    </row>
    <row r="4">
      <c r="A4" s="74" t="s">
        <v>77</v>
      </c>
      <c r="B4" s="75"/>
      <c r="C4" s="79"/>
      <c r="D4" s="79"/>
      <c r="E4" s="80"/>
    </row>
    <row r="5">
      <c r="A5" s="81" t="s">
        <v>76</v>
      </c>
      <c r="B5" s="78"/>
      <c r="C5" s="75"/>
      <c r="D5" s="79"/>
      <c r="E5" s="80"/>
    </row>
    <row r="6">
      <c r="A6" s="74" t="s">
        <v>15</v>
      </c>
      <c r="B6" s="75"/>
      <c r="C6" s="79"/>
      <c r="D6" s="7"/>
      <c r="E6" s="7"/>
    </row>
    <row r="7">
      <c r="A7" s="82"/>
      <c r="B7" s="83"/>
      <c r="C7" s="79"/>
      <c r="D7" s="79"/>
      <c r="E7" s="83"/>
    </row>
    <row r="8">
      <c r="A8" s="84" t="s">
        <v>78</v>
      </c>
      <c r="B8" s="85" t="s">
        <v>79</v>
      </c>
      <c r="C8" s="75" t="s">
        <v>80</v>
      </c>
      <c r="D8" s="75" t="s">
        <v>81</v>
      </c>
      <c r="E8" s="83"/>
    </row>
    <row r="9">
      <c r="A9" s="74" t="s">
        <v>82</v>
      </c>
      <c r="B9" s="75"/>
      <c r="C9" s="75"/>
      <c r="D9" s="75"/>
      <c r="E9" s="83"/>
    </row>
    <row r="10">
      <c r="A10" s="74" t="s">
        <v>83</v>
      </c>
      <c r="B10" s="86"/>
      <c r="C10" s="75"/>
      <c r="D10" s="75"/>
      <c r="E10" s="83"/>
    </row>
    <row r="11">
      <c r="A11" s="74" t="s">
        <v>84</v>
      </c>
      <c r="B11" s="86"/>
      <c r="C11" s="75"/>
      <c r="D11" s="87"/>
      <c r="E11" s="83"/>
    </row>
    <row r="12">
      <c r="A12" s="81" t="s">
        <v>85</v>
      </c>
      <c r="B12" s="88"/>
      <c r="C12" s="75"/>
      <c r="D12" s="87"/>
      <c r="E12" s="83"/>
    </row>
    <row r="13">
      <c r="A13" s="89" t="s">
        <v>86</v>
      </c>
      <c r="B13" s="88"/>
      <c r="C13" s="75"/>
      <c r="D13" s="90"/>
      <c r="E13" s="87"/>
    </row>
    <row r="14">
      <c r="A14" s="91" t="s">
        <v>87</v>
      </c>
      <c r="B14" s="92"/>
      <c r="C14" s="93"/>
      <c r="D14" s="94"/>
      <c r="E14" s="95"/>
    </row>
    <row r="15">
      <c r="A15" s="96" t="s">
        <v>88</v>
      </c>
      <c r="B15" s="92"/>
      <c r="C15" s="93"/>
      <c r="D15" s="93"/>
      <c r="E15" s="79"/>
    </row>
    <row r="16">
      <c r="A16" s="85" t="s">
        <v>89</v>
      </c>
      <c r="B16" s="88"/>
      <c r="C16" s="90"/>
      <c r="D16" s="75"/>
      <c r="E16" s="83"/>
    </row>
    <row r="17">
      <c r="A17" s="82"/>
      <c r="B17" s="83"/>
      <c r="C17" s="95"/>
      <c r="D17" s="95"/>
      <c r="E17" s="83"/>
    </row>
    <row r="18">
      <c r="A18" s="97" t="s">
        <v>90</v>
      </c>
      <c r="B18" s="98"/>
      <c r="C18" s="79"/>
      <c r="D18" s="79"/>
      <c r="E18" s="83"/>
    </row>
  </sheetData>
  <mergeCells count="1">
    <mergeCell ref="A1:E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99" t="s">
        <v>91</v>
      </c>
      <c r="B1" s="62"/>
      <c r="C1" s="62"/>
      <c r="D1" s="62"/>
      <c r="E1" s="63"/>
    </row>
    <row r="2">
      <c r="A2" s="81" t="s">
        <v>92</v>
      </c>
      <c r="B2" s="100"/>
      <c r="C2" s="95"/>
      <c r="D2" s="95"/>
      <c r="E2" s="95"/>
    </row>
    <row r="3">
      <c r="A3" s="81" t="s">
        <v>93</v>
      </c>
      <c r="B3" s="86"/>
      <c r="C3" s="95"/>
      <c r="D3" s="95"/>
      <c r="E3" s="95"/>
    </row>
    <row r="4">
      <c r="A4" s="81" t="s">
        <v>94</v>
      </c>
      <c r="B4" s="86"/>
      <c r="C4" s="95"/>
      <c r="D4" s="95"/>
      <c r="E4" s="95"/>
    </row>
    <row r="5">
      <c r="A5" s="74" t="s">
        <v>6</v>
      </c>
      <c r="B5" s="101"/>
      <c r="C5" s="95"/>
      <c r="D5" s="95"/>
      <c r="E5" s="95"/>
    </row>
    <row r="6">
      <c r="A6" s="81" t="s">
        <v>95</v>
      </c>
      <c r="B6" s="86"/>
      <c r="C6" s="95"/>
      <c r="D6" s="95"/>
      <c r="E6" s="95"/>
    </row>
    <row r="7">
      <c r="A7" s="81" t="s">
        <v>96</v>
      </c>
      <c r="B7" s="86"/>
      <c r="C7" s="95"/>
      <c r="D7" s="95"/>
      <c r="E7" s="95"/>
    </row>
    <row r="8">
      <c r="A8" s="102" t="s">
        <v>97</v>
      </c>
      <c r="B8" s="103" t="s">
        <v>98</v>
      </c>
      <c r="C8" s="103" t="s">
        <v>99</v>
      </c>
      <c r="D8" s="103" t="s">
        <v>100</v>
      </c>
      <c r="E8" s="103" t="s">
        <v>101</v>
      </c>
    </row>
    <row r="9">
      <c r="A9" s="81"/>
      <c r="B9" s="104"/>
      <c r="C9" s="105"/>
      <c r="D9" s="104"/>
      <c r="E9" s="106"/>
    </row>
    <row r="10">
      <c r="A10" s="81"/>
      <c r="B10" s="104"/>
      <c r="C10" s="105"/>
      <c r="D10" s="104"/>
      <c r="E10" s="101"/>
    </row>
    <row r="11">
      <c r="A11" s="81"/>
      <c r="B11" s="86"/>
      <c r="C11" s="105"/>
      <c r="D11" s="104"/>
      <c r="E11" s="106"/>
    </row>
    <row r="12">
      <c r="A12" s="81"/>
      <c r="B12" s="104"/>
      <c r="C12" s="105"/>
      <c r="D12" s="104"/>
      <c r="E12" s="101"/>
    </row>
    <row r="13">
      <c r="A13" s="81"/>
      <c r="B13" s="104"/>
      <c r="C13" s="105"/>
      <c r="D13" s="104"/>
      <c r="E13" s="101"/>
    </row>
    <row r="14">
      <c r="A14" s="81" t="s">
        <v>102</v>
      </c>
      <c r="B14" s="107">
        <f t="shared" ref="B14:D14" si="1">SUM(B9:B13)</f>
        <v>0</v>
      </c>
      <c r="C14" s="105">
        <f t="shared" si="1"/>
        <v>0</v>
      </c>
      <c r="D14" s="107">
        <f t="shared" si="1"/>
        <v>0</v>
      </c>
      <c r="E14" s="106"/>
    </row>
    <row r="15">
      <c r="A15" s="108"/>
      <c r="B15" s="109"/>
      <c r="C15" s="109"/>
      <c r="D15" s="110"/>
      <c r="E15" s="110"/>
    </row>
    <row r="16">
      <c r="A16" s="111" t="s">
        <v>103</v>
      </c>
      <c r="B16" s="112"/>
      <c r="C16" s="95"/>
      <c r="D16" s="110"/>
      <c r="E16" s="110"/>
    </row>
    <row r="17">
      <c r="A17" s="81" t="s">
        <v>104</v>
      </c>
      <c r="B17" s="104"/>
      <c r="C17" s="104"/>
      <c r="D17" s="110"/>
      <c r="E17" s="110"/>
    </row>
    <row r="18">
      <c r="A18" s="81" t="s">
        <v>105</v>
      </c>
      <c r="B18" s="104"/>
      <c r="C18" s="104"/>
      <c r="D18" s="110"/>
      <c r="E18" s="110"/>
    </row>
    <row r="19">
      <c r="A19" s="81" t="s">
        <v>106</v>
      </c>
      <c r="B19" s="104"/>
      <c r="C19" s="104"/>
      <c r="D19" s="110"/>
      <c r="E19" s="110"/>
    </row>
  </sheetData>
  <mergeCells count="2">
    <mergeCell ref="A1:E1"/>
    <mergeCell ref="A16:B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